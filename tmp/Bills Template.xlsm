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14a0ab2c576c5ff/Documents/projects/projects/mortgage vs heloc/tmp/"/>
    </mc:Choice>
  </mc:AlternateContent>
  <xr:revisionPtr revIDLastSave="141" documentId="8_{9EBB4E66-5F28-45C4-9291-A607CFEF9624}" xr6:coauthVersionLast="47" xr6:coauthVersionMax="47" xr10:uidLastSave="{1EF0C9E5-21D3-4A55-80BD-311CDAFAAD54}"/>
  <bookViews>
    <workbookView xWindow="11316" yWindow="8460" windowWidth="34560" windowHeight="19440" xr2:uid="{F437FCA6-7558-4D15-81F9-CC3479CE6938}"/>
  </bookViews>
  <sheets>
    <sheet name="Bills" sheetId="2" r:id="rId1"/>
    <sheet name="Bills (2)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L10" i="2"/>
  <c r="L11" i="2"/>
  <c r="L12" i="2"/>
  <c r="L58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10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7" i="2"/>
  <c r="L6" i="2"/>
  <c r="L5" i="2"/>
  <c r="L4" i="2"/>
  <c r="L36" i="2"/>
  <c r="L35" i="2"/>
  <c r="L34" i="2"/>
  <c r="L32" i="2"/>
  <c r="L31" i="2"/>
  <c r="L29" i="2"/>
  <c r="L28" i="2"/>
  <c r="L27" i="2"/>
  <c r="L26" i="2"/>
  <c r="L25" i="2"/>
  <c r="L24" i="2"/>
  <c r="L23" i="2"/>
  <c r="L22" i="2"/>
  <c r="L21" i="2"/>
  <c r="L20" i="2"/>
  <c r="L18" i="2"/>
  <c r="L17" i="2"/>
  <c r="L16" i="2"/>
  <c r="L15" i="2"/>
  <c r="L14" i="2"/>
  <c r="L13" i="2"/>
  <c r="B7" i="2"/>
  <c r="B6" i="2"/>
  <c r="B5" i="2"/>
  <c r="B4" i="2"/>
  <c r="L63" i="1"/>
  <c r="L62" i="1"/>
  <c r="L61" i="1"/>
  <c r="L60" i="1"/>
  <c r="L59" i="1"/>
  <c r="L58" i="1"/>
  <c r="L57" i="1"/>
  <c r="L56" i="1"/>
  <c r="L61" i="2" l="1"/>
  <c r="L4" i="1"/>
  <c r="L5" i="1"/>
  <c r="L6" i="1"/>
  <c r="L7" i="1"/>
  <c r="L8" i="1"/>
  <c r="L9" i="1"/>
  <c r="L10" i="1"/>
  <c r="L11" i="1"/>
  <c r="L12" i="1"/>
  <c r="L14" i="1"/>
  <c r="L15" i="1"/>
  <c r="L16" i="1"/>
  <c r="L17" i="1"/>
  <c r="L18" i="1"/>
  <c r="L19" i="1"/>
  <c r="L20" i="1"/>
  <c r="L21" i="1"/>
  <c r="L22" i="1"/>
  <c r="L23" i="1"/>
  <c r="L25" i="1"/>
  <c r="L26" i="1"/>
  <c r="L28" i="1"/>
  <c r="L29" i="1"/>
  <c r="L30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B32" i="1"/>
  <c r="L32" i="1" s="1"/>
  <c r="B33" i="1"/>
  <c r="L33" i="1" s="1"/>
  <c r="B34" i="1"/>
  <c r="B2" i="1" s="1"/>
  <c r="L2" i="1" s="1"/>
  <c r="B35" i="1"/>
  <c r="L35" i="1" s="1"/>
  <c r="L66" i="2" l="1"/>
  <c r="L70" i="2" s="1"/>
  <c r="P61" i="2"/>
  <c r="L34" i="1"/>
  <c r="L65" i="1" s="1"/>
  <c r="L70" i="1" s="1"/>
  <c r="L74" i="1" s="1"/>
</calcChain>
</file>

<file path=xl/sharedStrings.xml><?xml version="1.0" encoding="utf-8"?>
<sst xmlns="http://schemas.openxmlformats.org/spreadsheetml/2006/main" count="418" uniqueCount="77">
  <si>
    <t>y</t>
  </si>
  <si>
    <t>a</t>
  </si>
  <si>
    <t>Jam Software Tree Size</t>
  </si>
  <si>
    <t>Scooter Software -Beyond Compare</t>
  </si>
  <si>
    <t>Flo (tldgoddess)</t>
  </si>
  <si>
    <t>I am (tldgoddess)</t>
  </si>
  <si>
    <t>Quicken Premier (Personal)</t>
  </si>
  <si>
    <t>Google 1 (marcusjamesludwig)</t>
  </si>
  <si>
    <t>Google 1 (t.l.davis1031)</t>
  </si>
  <si>
    <t>Google 1 (Catchkevin75)</t>
  </si>
  <si>
    <t>YouTube Tv Nfl</t>
  </si>
  <si>
    <t>Amazon - Tina</t>
  </si>
  <si>
    <t>Costco</t>
  </si>
  <si>
    <t>AAA Membership</t>
  </si>
  <si>
    <t>Boat Property Taxes</t>
  </si>
  <si>
    <t>Registration Boat Trailer</t>
  </si>
  <si>
    <t>Registration Boat &amp; Mussles Sticker</t>
  </si>
  <si>
    <t>Registration R3</t>
  </si>
  <si>
    <t>Registration CBR 600</t>
  </si>
  <si>
    <t>Registration F-150</t>
  </si>
  <si>
    <t>Registration Corolla</t>
  </si>
  <si>
    <t>w</t>
  </si>
  <si>
    <t>Boat Gas</t>
  </si>
  <si>
    <t>m</t>
  </si>
  <si>
    <t>Truck Gas</t>
  </si>
  <si>
    <t>Tina Gas</t>
  </si>
  <si>
    <t>Kevin Gas</t>
  </si>
  <si>
    <t>Tanks Per Week</t>
  </si>
  <si>
    <t>Gallons</t>
  </si>
  <si>
    <t>Cost</t>
  </si>
  <si>
    <t>Boat Insurance</t>
  </si>
  <si>
    <t>Motorcycle Insurance</t>
  </si>
  <si>
    <t>Car Insurance</t>
  </si>
  <si>
    <t>n</t>
  </si>
  <si>
    <t>Tina St Taxes</t>
  </si>
  <si>
    <t>Tina Fed Taxes</t>
  </si>
  <si>
    <t>Boat</t>
  </si>
  <si>
    <t>Tmobile</t>
  </si>
  <si>
    <t>Verizon</t>
  </si>
  <si>
    <t>Google Cell Insurance 2</t>
  </si>
  <si>
    <t>Google Cell Insurance</t>
  </si>
  <si>
    <t>TouTube Music</t>
  </si>
  <si>
    <t>YouTube TV Unlimited Steams 4K</t>
  </si>
  <si>
    <t>YouTube TV</t>
  </si>
  <si>
    <t>Cox Internet</t>
  </si>
  <si>
    <t>Dog Food</t>
  </si>
  <si>
    <t>Groceries</t>
  </si>
  <si>
    <t>Trash</t>
  </si>
  <si>
    <t>Water</t>
  </si>
  <si>
    <t>Power</t>
  </si>
  <si>
    <t>Home Insurance</t>
  </si>
  <si>
    <t>House Property Taxes Dec</t>
  </si>
  <si>
    <t>Credit Card</t>
  </si>
  <si>
    <t>Can be paid on CC</t>
  </si>
  <si>
    <t>Due Date Day</t>
  </si>
  <si>
    <t>Due Date Month</t>
  </si>
  <si>
    <t>Week/Month/Annual</t>
  </si>
  <si>
    <t>Bill Amount</t>
  </si>
  <si>
    <t>Bill Description</t>
  </si>
  <si>
    <t>Storage Unit</t>
  </si>
  <si>
    <t>Unbudgeted Spend</t>
  </si>
  <si>
    <t>.</t>
  </si>
  <si>
    <t>Week/Month/Annual
(Enter: w,m,a)</t>
  </si>
  <si>
    <t>Due Date Month
(Annual Bills Only)</t>
  </si>
  <si>
    <t>Due Date Day
(Annual/Monthly Bills Only)</t>
  </si>
  <si>
    <t>Can be paid on CC
(Enter: y,n)</t>
  </si>
  <si>
    <t>Current Gallon Cost</t>
  </si>
  <si>
    <t>Fuel Tank Gallons</t>
  </si>
  <si>
    <t>Notes/Comments</t>
  </si>
  <si>
    <t>Credit Card Payment Draw</t>
  </si>
  <si>
    <t>Charge all your bills on your credit card. Earn points/cash back for your all charges. Key, pay off Credit Card each month prior to being charged interest on your statement.</t>
  </si>
  <si>
    <t>If more vehicles, right click row, "Insert"</t>
  </si>
  <si>
    <t>Start Entering Bills below</t>
  </si>
  <si>
    <t>bills</t>
  </si>
  <si>
    <t>tina</t>
  </si>
  <si>
    <t>kevin</t>
  </si>
  <si>
    <t>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</si>
</sst>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FFDC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0" xfId="1" applyNumberFormat="1" applyFont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1" applyFont="1"/>
    <xf numFmtId="0" fontId="0" fillId="0" borderId="1" xfId="0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0" borderId="1" xfId="1" applyFont="1" applyBorder="1"/>
    <xf numFmtId="0" fontId="0" fillId="0" borderId="1" xfId="0" applyBorder="1"/>
    <xf numFmtId="0" fontId="0" fillId="2" borderId="1" xfId="0" applyFill="1" applyBorder="1"/>
    <xf numFmtId="0" fontId="0" fillId="2" borderId="2" xfId="0" applyFill="1" applyBorder="1"/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44" fontId="2" fillId="0" borderId="1" xfId="1" applyFont="1" applyBorder="1" applyAlignment="1">
      <alignment horizontal="center"/>
    </xf>
    <xf numFmtId="44" fontId="2" fillId="0" borderId="1" xfId="1" applyFont="1" applyBorder="1"/>
    <xf numFmtId="0" fontId="2" fillId="0" borderId="1" xfId="0" applyFont="1" applyBorder="1"/>
    <xf numFmtId="44" fontId="0" fillId="0" borderId="0" xfId="1" applyFont="1" applyFill="1"/>
    <xf numFmtId="0" fontId="2" fillId="0" borderId="0" xfId="0" applyFont="1" applyAlignment="1">
      <alignment wrapText="1"/>
    </xf>
    <xf numFmtId="44" fontId="2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3" fillId="3" borderId="1" xfId="0" applyFont="1" applyFill="1" applyBorder="1"/>
    <xf numFmtId="44" fontId="3" fillId="3" borderId="1" xfId="0" applyNumberFormat="1" applyFont="1" applyFill="1" applyBorder="1"/>
    <xf numFmtId="0" fontId="0" fillId="4" borderId="0" xfId="0" applyFill="1"/>
    <xf numFmtId="44" fontId="0" fillId="4" borderId="0" xfId="0" applyNumberFormat="1" applyFill="1"/>
    <xf numFmtId="44" fontId="0" fillId="0" borderId="1" xfId="0" applyNumberFormat="1" applyBorder="1"/>
    <xf numFmtId="0" fontId="0" fillId="5" borderId="0" xfId="0" applyFill="1"/>
    <xf numFmtId="0" fontId="4" fillId="6" borderId="0" xfId="0" applyFont="1" applyFill="1"/>
    <xf numFmtId="44" fontId="0" fillId="6" borderId="0" xfId="0" applyNumberFormat="1" applyFill="1"/>
    <xf numFmtId="0" fontId="0" fillId="6" borderId="0" xfId="0" applyFill="1"/>
    <xf numFmtId="0" fontId="0" fillId="4" borderId="1" xfId="0" applyFill="1" applyBorder="1"/>
    <xf numFmtId="44" fontId="0" fillId="4" borderId="1" xfId="0" applyNumberFormat="1" applyFill="1" applyBorder="1"/>
    <xf numFmtId="4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4" borderId="1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EEF6E-72AA-4D97-A81F-A9E6FFADA1A0}">
  <sheetPr codeName="Sheet29"/>
  <dimension ref="A1:P70"/>
  <sheetViews>
    <sheetView tabSelected="1" workbookViewId="0">
      <selection activeCell="E18" sqref="E18"/>
    </sheetView>
  </sheetViews>
  <sheetFormatPr defaultRowHeight="14.4" x14ac:dyDescent="0.3"/>
  <cols>
    <col min="1" max="1" width="33.109375" bestFit="1" customWidth="1"/>
    <col min="2" max="2" width="10.88671875" style="34" bestFit="1" customWidth="1"/>
    <col min="3" max="3" width="18" bestFit="1" customWidth="1"/>
    <col min="4" max="4" width="16.21875" bestFit="1" customWidth="1"/>
    <col min="5" max="5" width="23.6640625" bestFit="1" customWidth="1"/>
    <col min="6" max="6" width="16" style="1" bestFit="1" customWidth="1"/>
    <col min="8" max="8" width="17.33203125" bestFit="1" customWidth="1"/>
    <col min="9" max="9" width="15.5546875" bestFit="1" customWidth="1"/>
    <col min="10" max="10" width="14" bestFit="1" customWidth="1"/>
    <col min="11" max="11" width="60.77734375" customWidth="1"/>
    <col min="12" max="12" width="11.21875" bestFit="1" customWidth="1"/>
    <col min="16" max="16" width="12.21875" bestFit="1" customWidth="1"/>
  </cols>
  <sheetData>
    <row r="1" spans="1:16" ht="28.8" x14ac:dyDescent="0.3">
      <c r="A1" s="20" t="s">
        <v>58</v>
      </c>
      <c r="B1" s="21" t="s">
        <v>57</v>
      </c>
      <c r="C1" s="22" t="s">
        <v>62</v>
      </c>
      <c r="D1" s="22" t="s">
        <v>63</v>
      </c>
      <c r="E1" s="22" t="s">
        <v>64</v>
      </c>
      <c r="F1" s="22" t="s">
        <v>65</v>
      </c>
      <c r="G1" s="13"/>
      <c r="H1" s="13" t="s">
        <v>66</v>
      </c>
      <c r="I1" s="13" t="s">
        <v>67</v>
      </c>
      <c r="J1" s="13" t="s">
        <v>27</v>
      </c>
      <c r="K1" s="13" t="s">
        <v>68</v>
      </c>
    </row>
    <row r="2" spans="1:16" x14ac:dyDescent="0.3">
      <c r="A2" s="23" t="s">
        <v>69</v>
      </c>
      <c r="B2" s="24">
        <f>SUMIFS(B10:B100, F10:F100, "y", C10:C100, "&lt;&gt;a")</f>
        <v>3182.14</v>
      </c>
      <c r="C2" s="9" t="s">
        <v>23</v>
      </c>
      <c r="D2" s="9"/>
      <c r="E2" s="9">
        <v>14</v>
      </c>
      <c r="K2" t="s">
        <v>70</v>
      </c>
    </row>
    <row r="3" spans="1:16" x14ac:dyDescent="0.3">
      <c r="A3" s="25"/>
      <c r="B3" s="26"/>
      <c r="C3" s="25"/>
      <c r="D3" s="25"/>
      <c r="E3" s="25"/>
      <c r="F3" s="35"/>
      <c r="G3" s="25"/>
      <c r="H3" s="25"/>
      <c r="I3" s="25"/>
      <c r="J3" s="25"/>
      <c r="K3" s="25"/>
    </row>
    <row r="4" spans="1:16" x14ac:dyDescent="0.3">
      <c r="A4" s="9" t="s">
        <v>26</v>
      </c>
      <c r="B4" s="27">
        <f t="shared" ref="B4:B7" si="0">H4*I4*J4</f>
        <v>74.25</v>
      </c>
      <c r="C4" s="9" t="s">
        <v>21</v>
      </c>
      <c r="D4" s="28"/>
      <c r="E4" s="28"/>
      <c r="F4" s="36" t="s">
        <v>0</v>
      </c>
      <c r="G4" s="28"/>
      <c r="H4" s="27">
        <v>4.5</v>
      </c>
      <c r="I4" s="9">
        <v>13.2</v>
      </c>
      <c r="J4" s="9">
        <v>1.25</v>
      </c>
      <c r="L4" s="4">
        <f t="shared" ref="L4:L7" si="1">IF(C4="a",B4/12,IF(C4="m",B4,IF(C4="w",(B4*52)/12,0)))</f>
        <v>321.75</v>
      </c>
    </row>
    <row r="5" spans="1:16" x14ac:dyDescent="0.3">
      <c r="A5" s="9" t="s">
        <v>25</v>
      </c>
      <c r="B5" s="27">
        <f t="shared" si="0"/>
        <v>90</v>
      </c>
      <c r="C5" s="9" t="s">
        <v>21</v>
      </c>
      <c r="D5" s="28"/>
      <c r="E5" s="28"/>
      <c r="F5" s="36" t="s">
        <v>0</v>
      </c>
      <c r="G5" s="28"/>
      <c r="H5" s="27">
        <v>4.5</v>
      </c>
      <c r="I5" s="9">
        <v>16</v>
      </c>
      <c r="J5" s="9">
        <v>1.25</v>
      </c>
      <c r="L5" s="4">
        <f t="shared" si="1"/>
        <v>390</v>
      </c>
    </row>
    <row r="6" spans="1:16" x14ac:dyDescent="0.3">
      <c r="A6" s="9" t="s">
        <v>24</v>
      </c>
      <c r="B6" s="27">
        <f t="shared" si="0"/>
        <v>243</v>
      </c>
      <c r="C6" s="9" t="s">
        <v>23</v>
      </c>
      <c r="D6" s="28"/>
      <c r="E6" s="28"/>
      <c r="F6" s="36" t="s">
        <v>0</v>
      </c>
      <c r="G6" s="28"/>
      <c r="H6" s="27">
        <v>4.5</v>
      </c>
      <c r="I6" s="9">
        <v>36</v>
      </c>
      <c r="J6" s="9">
        <v>1.5</v>
      </c>
      <c r="L6" s="4">
        <f t="shared" si="1"/>
        <v>243</v>
      </c>
    </row>
    <row r="7" spans="1:16" x14ac:dyDescent="0.3">
      <c r="A7" s="9" t="s">
        <v>22</v>
      </c>
      <c r="B7" s="27">
        <f t="shared" si="0"/>
        <v>0</v>
      </c>
      <c r="C7" s="9" t="s">
        <v>21</v>
      </c>
      <c r="D7" s="28"/>
      <c r="E7" s="28"/>
      <c r="F7" s="36" t="s">
        <v>0</v>
      </c>
      <c r="G7" s="28"/>
      <c r="H7" s="27">
        <v>4.5</v>
      </c>
      <c r="I7" s="9">
        <v>48</v>
      </c>
      <c r="J7" s="9"/>
      <c r="L7" s="4">
        <f t="shared" si="1"/>
        <v>0</v>
      </c>
    </row>
    <row r="8" spans="1:16" x14ac:dyDescent="0.3">
      <c r="A8" s="29" t="s">
        <v>71</v>
      </c>
      <c r="B8" s="30"/>
      <c r="C8" s="31"/>
      <c r="D8" s="31"/>
      <c r="E8" s="31"/>
      <c r="F8" s="37"/>
      <c r="G8" s="31"/>
      <c r="H8" s="31"/>
      <c r="I8" s="31"/>
      <c r="J8" s="31"/>
      <c r="K8" s="31"/>
    </row>
    <row r="9" spans="1:16" x14ac:dyDescent="0.3">
      <c r="A9" s="32" t="s">
        <v>72</v>
      </c>
      <c r="B9" s="33"/>
      <c r="C9" s="32"/>
      <c r="D9" s="32"/>
      <c r="E9" s="32"/>
      <c r="F9" s="38"/>
      <c r="G9" s="32"/>
      <c r="H9" s="32"/>
      <c r="I9" s="32"/>
      <c r="J9" s="32"/>
      <c r="K9" s="32"/>
    </row>
    <row r="10" spans="1:16" x14ac:dyDescent="0.3">
      <c r="A10" s="9" t="s">
        <v>51</v>
      </c>
      <c r="B10" s="8">
        <v>3682.34</v>
      </c>
      <c r="C10" s="7" t="s">
        <v>1</v>
      </c>
      <c r="D10" s="6">
        <v>12</v>
      </c>
      <c r="E10" s="5">
        <v>1</v>
      </c>
      <c r="F10" s="5" t="s">
        <v>33</v>
      </c>
      <c r="G10" s="9"/>
      <c r="H10" s="9"/>
      <c r="I10" s="9"/>
      <c r="J10" s="9"/>
      <c r="K10" s="9"/>
      <c r="L10" s="4">
        <f t="shared" ref="L10:L36" si="2">IF(C10="a",B10/12,IF(C10="m",B10,IF(C10="w",(B10*52)/12,0)))</f>
        <v>306.86166666666668</v>
      </c>
      <c r="N10">
        <v>306.86166666666668</v>
      </c>
      <c r="P10" t="b">
        <f>L10=N10</f>
        <v>1</v>
      </c>
    </row>
    <row r="11" spans="1:16" x14ac:dyDescent="0.3">
      <c r="A11" s="9" t="s">
        <v>51</v>
      </c>
      <c r="B11" s="8">
        <v>3682.34</v>
      </c>
      <c r="C11" s="7" t="s">
        <v>1</v>
      </c>
      <c r="D11" s="6">
        <v>4</v>
      </c>
      <c r="E11" s="5">
        <v>1</v>
      </c>
      <c r="F11" s="5" t="s">
        <v>33</v>
      </c>
      <c r="G11" s="9"/>
      <c r="H11" s="9"/>
      <c r="I11" s="9"/>
      <c r="J11" s="9"/>
      <c r="K11" s="9"/>
      <c r="L11" s="4">
        <f t="shared" si="2"/>
        <v>306.86166666666668</v>
      </c>
      <c r="N11">
        <v>306.86166666666668</v>
      </c>
      <c r="P11" t="b">
        <f t="shared" ref="P11:P56" si="3">L11=N11</f>
        <v>1</v>
      </c>
    </row>
    <row r="12" spans="1:16" x14ac:dyDescent="0.3">
      <c r="A12" s="9" t="s">
        <v>50</v>
      </c>
      <c r="B12" s="8">
        <v>1452</v>
      </c>
      <c r="C12" s="7" t="s">
        <v>1</v>
      </c>
      <c r="D12" s="6">
        <v>8</v>
      </c>
      <c r="E12" s="5">
        <v>1</v>
      </c>
      <c r="F12" s="5" t="s">
        <v>33</v>
      </c>
      <c r="G12" s="9"/>
      <c r="H12" s="9"/>
      <c r="I12" s="9"/>
      <c r="J12" s="9"/>
      <c r="K12" s="9"/>
      <c r="L12" s="4">
        <f t="shared" si="2"/>
        <v>121</v>
      </c>
      <c r="N12">
        <v>121</v>
      </c>
      <c r="P12" t="b">
        <f t="shared" si="3"/>
        <v>1</v>
      </c>
    </row>
    <row r="13" spans="1:16" x14ac:dyDescent="0.3">
      <c r="A13" s="9" t="s">
        <v>49</v>
      </c>
      <c r="B13" s="8">
        <v>600</v>
      </c>
      <c r="C13" s="7" t="s">
        <v>23</v>
      </c>
      <c r="D13" s="6"/>
      <c r="E13" s="5">
        <v>29</v>
      </c>
      <c r="F13" s="5" t="s">
        <v>0</v>
      </c>
      <c r="G13" s="9"/>
      <c r="H13" s="9"/>
      <c r="I13" s="9"/>
      <c r="J13" s="9"/>
      <c r="K13" s="9"/>
      <c r="L13" s="4">
        <f t="shared" si="2"/>
        <v>600</v>
      </c>
      <c r="N13">
        <v>600</v>
      </c>
      <c r="P13" t="b">
        <f t="shared" si="3"/>
        <v>1</v>
      </c>
    </row>
    <row r="14" spans="1:16" x14ac:dyDescent="0.3">
      <c r="A14" s="9" t="s">
        <v>48</v>
      </c>
      <c r="B14" s="8">
        <v>175</v>
      </c>
      <c r="C14" s="7" t="s">
        <v>23</v>
      </c>
      <c r="D14" s="6"/>
      <c r="E14" s="5">
        <v>25</v>
      </c>
      <c r="F14" s="5" t="s">
        <v>0</v>
      </c>
      <c r="G14" s="9"/>
      <c r="H14" s="9"/>
      <c r="I14" s="9"/>
      <c r="J14" s="9"/>
      <c r="K14" s="9"/>
      <c r="L14" s="4">
        <f t="shared" si="2"/>
        <v>175</v>
      </c>
      <c r="N14">
        <v>175</v>
      </c>
      <c r="P14" t="b">
        <f t="shared" si="3"/>
        <v>1</v>
      </c>
    </row>
    <row r="15" spans="1:16" x14ac:dyDescent="0.3">
      <c r="A15" s="9" t="s">
        <v>47</v>
      </c>
      <c r="B15" s="8">
        <v>136</v>
      </c>
      <c r="C15" s="7" t="s">
        <v>23</v>
      </c>
      <c r="D15" s="6"/>
      <c r="E15" s="5">
        <v>1</v>
      </c>
      <c r="F15" s="5" t="s">
        <v>0</v>
      </c>
      <c r="G15" s="9"/>
      <c r="H15" s="9"/>
      <c r="I15" s="9"/>
      <c r="J15" s="9"/>
      <c r="K15" s="9"/>
      <c r="L15" s="4">
        <f t="shared" si="2"/>
        <v>136</v>
      </c>
      <c r="N15">
        <v>136</v>
      </c>
      <c r="P15" t="b">
        <f t="shared" si="3"/>
        <v>1</v>
      </c>
    </row>
    <row r="16" spans="1:16" x14ac:dyDescent="0.3">
      <c r="A16" s="9" t="s">
        <v>61</v>
      </c>
      <c r="B16" s="8" t="s">
        <v>61</v>
      </c>
      <c r="C16" s="7" t="s">
        <v>61</v>
      </c>
      <c r="D16" s="6" t="s">
        <v>61</v>
      </c>
      <c r="E16" s="5" t="s">
        <v>61</v>
      </c>
      <c r="F16" s="5" t="s">
        <v>61</v>
      </c>
      <c r="G16" s="9"/>
      <c r="H16" s="9"/>
      <c r="I16" s="9"/>
      <c r="J16" s="9"/>
      <c r="K16" s="9"/>
      <c r="L16" s="4">
        <f t="shared" si="2"/>
        <v>0</v>
      </c>
      <c r="N16">
        <v>0</v>
      </c>
      <c r="P16" t="b">
        <f t="shared" si="3"/>
        <v>1</v>
      </c>
    </row>
    <row r="17" spans="1:16" x14ac:dyDescent="0.3">
      <c r="A17" s="9" t="s">
        <v>46</v>
      </c>
      <c r="B17" s="8">
        <v>300</v>
      </c>
      <c r="C17" s="7" t="s">
        <v>21</v>
      </c>
      <c r="D17" s="6"/>
      <c r="E17" s="5"/>
      <c r="F17" s="5" t="s">
        <v>0</v>
      </c>
      <c r="G17" s="9"/>
      <c r="H17" s="9"/>
      <c r="I17" s="9"/>
      <c r="J17" s="9"/>
      <c r="K17" s="9"/>
      <c r="L17" s="4">
        <f t="shared" si="2"/>
        <v>1300</v>
      </c>
      <c r="N17">
        <v>1300</v>
      </c>
      <c r="P17" t="b">
        <f t="shared" si="3"/>
        <v>1</v>
      </c>
    </row>
    <row r="18" spans="1:16" x14ac:dyDescent="0.3">
      <c r="A18" s="9" t="s">
        <v>45</v>
      </c>
      <c r="B18" s="8">
        <v>150</v>
      </c>
      <c r="C18" s="7" t="s">
        <v>21</v>
      </c>
      <c r="D18" s="6"/>
      <c r="E18" s="5"/>
      <c r="F18" s="5" t="s">
        <v>0</v>
      </c>
      <c r="G18" s="9"/>
      <c r="H18" s="9"/>
      <c r="I18" s="9"/>
      <c r="J18" s="9"/>
      <c r="K18" s="9"/>
      <c r="L18" s="4">
        <f t="shared" si="2"/>
        <v>650</v>
      </c>
      <c r="N18">
        <v>650</v>
      </c>
      <c r="P18" t="b">
        <f t="shared" si="3"/>
        <v>1</v>
      </c>
    </row>
    <row r="19" spans="1:16" x14ac:dyDescent="0.3">
      <c r="A19" s="9" t="s">
        <v>61</v>
      </c>
      <c r="B19" s="8" t="s">
        <v>61</v>
      </c>
      <c r="C19" s="7" t="s">
        <v>61</v>
      </c>
      <c r="D19" s="6" t="s">
        <v>61</v>
      </c>
      <c r="E19" s="5" t="s">
        <v>61</v>
      </c>
      <c r="F19" s="5" t="s">
        <v>61</v>
      </c>
      <c r="G19" s="9"/>
      <c r="H19" s="9"/>
      <c r="I19" s="9"/>
      <c r="J19" s="9"/>
      <c r="K19" s="9"/>
      <c r="L19" s="4"/>
      <c r="P19" t="b">
        <f t="shared" si="3"/>
        <v>1</v>
      </c>
    </row>
    <row r="20" spans="1:16" x14ac:dyDescent="0.3">
      <c r="A20" s="9" t="s">
        <v>44</v>
      </c>
      <c r="B20" s="8">
        <v>129.99</v>
      </c>
      <c r="C20" s="7" t="s">
        <v>23</v>
      </c>
      <c r="D20" s="6"/>
      <c r="E20" s="5">
        <v>13</v>
      </c>
      <c r="F20" s="5" t="s">
        <v>0</v>
      </c>
      <c r="G20" s="9"/>
      <c r="H20" s="9"/>
      <c r="I20" s="9"/>
      <c r="J20" s="9"/>
      <c r="K20" s="9"/>
      <c r="L20" s="4">
        <f t="shared" si="2"/>
        <v>129.99</v>
      </c>
      <c r="N20">
        <v>129.99</v>
      </c>
      <c r="P20" t="b">
        <f t="shared" si="3"/>
        <v>1</v>
      </c>
    </row>
    <row r="21" spans="1:16" x14ac:dyDescent="0.3">
      <c r="A21" s="9" t="s">
        <v>43</v>
      </c>
      <c r="B21" s="8">
        <v>82.99</v>
      </c>
      <c r="C21" s="7" t="s">
        <v>23</v>
      </c>
      <c r="D21" s="6"/>
      <c r="E21" s="5">
        <v>24</v>
      </c>
      <c r="F21" s="5" t="s">
        <v>0</v>
      </c>
      <c r="G21" s="9"/>
      <c r="H21" s="9"/>
      <c r="I21" s="9"/>
      <c r="J21" s="9"/>
      <c r="K21" s="9"/>
      <c r="L21" s="4">
        <f t="shared" si="2"/>
        <v>82.99</v>
      </c>
      <c r="N21">
        <v>82.99</v>
      </c>
      <c r="P21" t="b">
        <f t="shared" si="3"/>
        <v>1</v>
      </c>
    </row>
    <row r="22" spans="1:16" x14ac:dyDescent="0.3">
      <c r="A22" s="9" t="s">
        <v>42</v>
      </c>
      <c r="B22" s="8">
        <v>9.99</v>
      </c>
      <c r="C22" s="7" t="s">
        <v>23</v>
      </c>
      <c r="D22" s="6"/>
      <c r="E22" s="5">
        <v>5</v>
      </c>
      <c r="F22" s="5" t="s">
        <v>0</v>
      </c>
      <c r="G22" s="9"/>
      <c r="H22" s="9"/>
      <c r="I22" s="9"/>
      <c r="J22" s="9"/>
      <c r="K22" s="9"/>
      <c r="L22" s="4">
        <f t="shared" si="2"/>
        <v>9.99</v>
      </c>
      <c r="N22">
        <v>9.99</v>
      </c>
      <c r="P22" t="b">
        <f t="shared" si="3"/>
        <v>1</v>
      </c>
    </row>
    <row r="23" spans="1:16" x14ac:dyDescent="0.3">
      <c r="A23" s="9" t="s">
        <v>41</v>
      </c>
      <c r="B23" s="8">
        <v>22.99</v>
      </c>
      <c r="C23" s="7" t="s">
        <v>23</v>
      </c>
      <c r="D23" s="6"/>
      <c r="E23" s="5">
        <v>5</v>
      </c>
      <c r="F23" s="5" t="s">
        <v>0</v>
      </c>
      <c r="G23" s="9"/>
      <c r="H23" s="9"/>
      <c r="I23" s="9"/>
      <c r="J23" s="9"/>
      <c r="K23" s="9"/>
      <c r="L23" s="4">
        <f t="shared" si="2"/>
        <v>22.99</v>
      </c>
      <c r="N23">
        <v>22.99</v>
      </c>
      <c r="P23" t="b">
        <f t="shared" si="3"/>
        <v>1</v>
      </c>
    </row>
    <row r="24" spans="1:16" x14ac:dyDescent="0.3">
      <c r="A24" s="9" t="s">
        <v>40</v>
      </c>
      <c r="B24" s="8">
        <v>19.989999999999998</v>
      </c>
      <c r="C24" s="7" t="s">
        <v>23</v>
      </c>
      <c r="D24" s="6"/>
      <c r="E24" s="5">
        <v>22</v>
      </c>
      <c r="F24" s="5" t="s">
        <v>0</v>
      </c>
      <c r="G24" s="9"/>
      <c r="H24" s="9"/>
      <c r="I24" s="9"/>
      <c r="J24" s="9"/>
      <c r="K24" s="9"/>
      <c r="L24" s="4">
        <f t="shared" si="2"/>
        <v>19.989999999999998</v>
      </c>
      <c r="N24">
        <v>19.989999999999998</v>
      </c>
      <c r="P24" t="b">
        <f t="shared" si="3"/>
        <v>1</v>
      </c>
    </row>
    <row r="25" spans="1:16" x14ac:dyDescent="0.3">
      <c r="A25" s="9" t="s">
        <v>39</v>
      </c>
      <c r="B25" s="8">
        <v>19.989999999999998</v>
      </c>
      <c r="C25" s="7" t="s">
        <v>23</v>
      </c>
      <c r="D25" s="6"/>
      <c r="E25" s="5">
        <v>22</v>
      </c>
      <c r="F25" s="5" t="s">
        <v>0</v>
      </c>
      <c r="G25" s="9"/>
      <c r="H25" s="9"/>
      <c r="I25" s="9"/>
      <c r="J25" s="9"/>
      <c r="K25" s="9"/>
      <c r="L25" s="4">
        <f t="shared" si="2"/>
        <v>19.989999999999998</v>
      </c>
      <c r="N25">
        <v>19.989999999999998</v>
      </c>
      <c r="P25" t="b">
        <f t="shared" si="3"/>
        <v>1</v>
      </c>
    </row>
    <row r="26" spans="1:16" x14ac:dyDescent="0.3">
      <c r="A26" s="9" t="s">
        <v>38</v>
      </c>
      <c r="B26" s="8">
        <v>300</v>
      </c>
      <c r="C26" s="7" t="s">
        <v>23</v>
      </c>
      <c r="D26" s="6"/>
      <c r="E26" s="5">
        <v>20</v>
      </c>
      <c r="F26" s="5" t="s">
        <v>0</v>
      </c>
      <c r="G26" s="9"/>
      <c r="H26" s="9"/>
      <c r="I26" s="9"/>
      <c r="J26" s="9"/>
      <c r="K26" s="9"/>
      <c r="L26" s="4">
        <f t="shared" si="2"/>
        <v>300</v>
      </c>
      <c r="N26">
        <v>300</v>
      </c>
      <c r="P26" t="b">
        <f t="shared" si="3"/>
        <v>1</v>
      </c>
    </row>
    <row r="27" spans="1:16" x14ac:dyDescent="0.3">
      <c r="A27" s="9" t="s">
        <v>37</v>
      </c>
      <c r="B27" s="8">
        <v>98</v>
      </c>
      <c r="C27" s="7" t="s">
        <v>23</v>
      </c>
      <c r="D27" s="6"/>
      <c r="E27" s="5">
        <v>27</v>
      </c>
      <c r="F27" s="5" t="s">
        <v>0</v>
      </c>
      <c r="G27" s="9"/>
      <c r="H27" s="9"/>
      <c r="I27" s="9"/>
      <c r="J27" s="9"/>
      <c r="K27" s="9"/>
      <c r="L27" s="4">
        <f t="shared" si="2"/>
        <v>98</v>
      </c>
      <c r="N27">
        <v>98</v>
      </c>
      <c r="P27" t="b">
        <f t="shared" si="3"/>
        <v>1</v>
      </c>
    </row>
    <row r="28" spans="1:16" x14ac:dyDescent="0.3">
      <c r="A28" s="9" t="s">
        <v>59</v>
      </c>
      <c r="B28" s="8">
        <v>231.2</v>
      </c>
      <c r="C28" s="7" t="s">
        <v>23</v>
      </c>
      <c r="D28" s="6"/>
      <c r="E28" s="5">
        <v>27</v>
      </c>
      <c r="F28" s="5" t="s">
        <v>0</v>
      </c>
      <c r="G28" s="9"/>
      <c r="H28" s="9"/>
      <c r="I28" s="9"/>
      <c r="J28" s="9"/>
      <c r="K28" s="9"/>
      <c r="L28" s="4">
        <f t="shared" si="2"/>
        <v>231.2</v>
      </c>
      <c r="N28">
        <v>231.2</v>
      </c>
      <c r="P28" t="b">
        <f t="shared" si="3"/>
        <v>1</v>
      </c>
    </row>
    <row r="29" spans="1:16" x14ac:dyDescent="0.3">
      <c r="A29" s="9" t="s">
        <v>36</v>
      </c>
      <c r="B29" s="8">
        <v>750</v>
      </c>
      <c r="C29" s="7" t="s">
        <v>23</v>
      </c>
      <c r="D29" s="6"/>
      <c r="E29" s="5">
        <v>7</v>
      </c>
      <c r="F29" s="5" t="s">
        <v>33</v>
      </c>
      <c r="G29" s="9"/>
      <c r="H29" s="9"/>
      <c r="I29" s="9"/>
      <c r="J29" s="9"/>
      <c r="K29" s="9"/>
      <c r="L29" s="4">
        <f t="shared" si="2"/>
        <v>750</v>
      </c>
      <c r="N29">
        <v>750</v>
      </c>
      <c r="P29" t="b">
        <f t="shared" si="3"/>
        <v>1</v>
      </c>
    </row>
    <row r="30" spans="1:16" x14ac:dyDescent="0.3">
      <c r="A30" s="9" t="s">
        <v>61</v>
      </c>
      <c r="B30" s="8" t="s">
        <v>61</v>
      </c>
      <c r="C30" s="7" t="s">
        <v>61</v>
      </c>
      <c r="D30" s="6" t="s">
        <v>61</v>
      </c>
      <c r="E30" s="5" t="s">
        <v>61</v>
      </c>
      <c r="F30" s="5" t="s">
        <v>61</v>
      </c>
      <c r="G30" s="9"/>
      <c r="H30" s="9"/>
      <c r="I30" s="9"/>
      <c r="J30" s="9"/>
      <c r="K30" s="9"/>
      <c r="L30" s="4"/>
      <c r="P30" t="b">
        <f t="shared" si="3"/>
        <v>1</v>
      </c>
    </row>
    <row r="31" spans="1:16" x14ac:dyDescent="0.3">
      <c r="A31" s="9" t="s">
        <v>35</v>
      </c>
      <c r="B31" s="8">
        <v>465</v>
      </c>
      <c r="C31" s="7" t="s">
        <v>23</v>
      </c>
      <c r="D31" s="6"/>
      <c r="E31" s="5">
        <v>15</v>
      </c>
      <c r="F31" s="5" t="s">
        <v>33</v>
      </c>
      <c r="G31" s="9"/>
      <c r="H31" s="9"/>
      <c r="I31" s="9"/>
      <c r="J31" s="9"/>
      <c r="K31" s="9"/>
      <c r="L31" s="4">
        <f t="shared" si="2"/>
        <v>465</v>
      </c>
      <c r="N31">
        <v>465</v>
      </c>
      <c r="P31" t="b">
        <f t="shared" si="3"/>
        <v>1</v>
      </c>
    </row>
    <row r="32" spans="1:16" x14ac:dyDescent="0.3">
      <c r="A32" s="9" t="s">
        <v>34</v>
      </c>
      <c r="B32" s="8">
        <v>100</v>
      </c>
      <c r="C32" s="7" t="s">
        <v>23</v>
      </c>
      <c r="D32" s="6"/>
      <c r="E32" s="5">
        <v>15</v>
      </c>
      <c r="F32" s="5" t="s">
        <v>33</v>
      </c>
      <c r="G32" s="9"/>
      <c r="H32" s="9"/>
      <c r="I32" s="9"/>
      <c r="J32" s="9"/>
      <c r="K32" s="9"/>
      <c r="L32" s="4">
        <f t="shared" si="2"/>
        <v>100</v>
      </c>
      <c r="N32">
        <v>100</v>
      </c>
      <c r="P32" t="b">
        <f t="shared" si="3"/>
        <v>1</v>
      </c>
    </row>
    <row r="33" spans="1:16" x14ac:dyDescent="0.3">
      <c r="A33" s="9" t="s">
        <v>61</v>
      </c>
      <c r="B33" s="8" t="s">
        <v>61</v>
      </c>
      <c r="C33" s="7" t="s">
        <v>61</v>
      </c>
      <c r="D33" s="6" t="s">
        <v>61</v>
      </c>
      <c r="E33" s="5" t="s">
        <v>61</v>
      </c>
      <c r="F33" s="5" t="s">
        <v>61</v>
      </c>
      <c r="G33" s="9"/>
      <c r="H33" s="9"/>
      <c r="I33" s="9"/>
      <c r="J33" s="9"/>
      <c r="K33" s="9"/>
      <c r="L33" s="4"/>
      <c r="P33" t="b">
        <f t="shared" si="3"/>
        <v>1</v>
      </c>
    </row>
    <row r="34" spans="1:16" x14ac:dyDescent="0.3">
      <c r="A34" s="9" t="s">
        <v>32</v>
      </c>
      <c r="B34" s="8">
        <v>730</v>
      </c>
      <c r="C34" s="7" t="s">
        <v>23</v>
      </c>
      <c r="D34" s="6"/>
      <c r="E34" s="5">
        <v>20</v>
      </c>
      <c r="F34" s="5" t="s">
        <v>0</v>
      </c>
      <c r="G34" s="9"/>
      <c r="H34" s="9"/>
      <c r="I34" s="9"/>
      <c r="J34" s="9"/>
      <c r="K34" s="9"/>
      <c r="L34" s="4">
        <f t="shared" si="2"/>
        <v>730</v>
      </c>
      <c r="N34">
        <v>730</v>
      </c>
      <c r="P34" t="b">
        <f t="shared" si="3"/>
        <v>1</v>
      </c>
    </row>
    <row r="35" spans="1:16" x14ac:dyDescent="0.3">
      <c r="A35" s="9" t="s">
        <v>31</v>
      </c>
      <c r="B35" s="8">
        <v>176</v>
      </c>
      <c r="C35" s="7" t="s">
        <v>23</v>
      </c>
      <c r="D35" s="6"/>
      <c r="E35" s="5">
        <v>1</v>
      </c>
      <c r="F35" s="5" t="s">
        <v>0</v>
      </c>
      <c r="G35" s="9"/>
      <c r="H35" s="9"/>
      <c r="I35" s="9"/>
      <c r="J35" s="9"/>
      <c r="K35" s="9"/>
      <c r="L35" s="4">
        <f t="shared" si="2"/>
        <v>176</v>
      </c>
      <c r="N35">
        <v>176</v>
      </c>
      <c r="P35" t="b">
        <f t="shared" si="3"/>
        <v>1</v>
      </c>
    </row>
    <row r="36" spans="1:16" x14ac:dyDescent="0.3">
      <c r="A36" s="9" t="s">
        <v>30</v>
      </c>
      <c r="B36" s="8">
        <v>900</v>
      </c>
      <c r="C36" s="7" t="s">
        <v>1</v>
      </c>
      <c r="D36" s="6">
        <v>7</v>
      </c>
      <c r="E36" s="5">
        <v>1</v>
      </c>
      <c r="F36" s="5" t="s">
        <v>0</v>
      </c>
      <c r="G36" s="9"/>
      <c r="H36" s="9"/>
      <c r="I36" s="9"/>
      <c r="J36" s="9"/>
      <c r="K36" s="9"/>
      <c r="L36" s="4">
        <f t="shared" si="2"/>
        <v>75</v>
      </c>
      <c r="N36">
        <v>75</v>
      </c>
      <c r="P36" t="b">
        <f t="shared" si="3"/>
        <v>1</v>
      </c>
    </row>
    <row r="37" spans="1:16" x14ac:dyDescent="0.3">
      <c r="A37" s="9"/>
      <c r="B37" s="27"/>
      <c r="C37" s="9"/>
      <c r="D37" s="9"/>
      <c r="E37" s="9"/>
      <c r="F37" s="5"/>
      <c r="G37" s="9"/>
      <c r="H37" s="9"/>
      <c r="I37" s="9"/>
      <c r="J37" s="9"/>
      <c r="K37" s="9"/>
      <c r="P37" t="b">
        <f t="shared" si="3"/>
        <v>1</v>
      </c>
    </row>
    <row r="38" spans="1:16" x14ac:dyDescent="0.3">
      <c r="A38" s="9" t="s">
        <v>20</v>
      </c>
      <c r="B38" s="8">
        <v>166</v>
      </c>
      <c r="C38" s="7" t="s">
        <v>1</v>
      </c>
      <c r="D38" s="6">
        <v>5</v>
      </c>
      <c r="E38" s="5">
        <v>2</v>
      </c>
      <c r="F38" s="5" t="s">
        <v>33</v>
      </c>
      <c r="G38" s="9"/>
      <c r="H38" s="9"/>
      <c r="I38" s="9"/>
      <c r="J38" s="9"/>
      <c r="K38" s="9"/>
      <c r="L38" s="4">
        <f t="shared" ref="L38:L56" si="4">IF(C38="a",B38/12,IF(C38="m",B38,IF(C38="w",(B38*52)/12,0)))</f>
        <v>13.833333333333334</v>
      </c>
      <c r="N38">
        <v>13.833333333333334</v>
      </c>
      <c r="P38" t="b">
        <f t="shared" si="3"/>
        <v>1</v>
      </c>
    </row>
    <row r="39" spans="1:16" x14ac:dyDescent="0.3">
      <c r="A39" s="9" t="s">
        <v>19</v>
      </c>
      <c r="B39" s="8">
        <v>326</v>
      </c>
      <c r="C39" s="7" t="s">
        <v>1</v>
      </c>
      <c r="D39" s="6">
        <v>5</v>
      </c>
      <c r="E39" s="5">
        <v>2</v>
      </c>
      <c r="F39" s="5" t="s">
        <v>33</v>
      </c>
      <c r="G39" s="9"/>
      <c r="H39" s="9"/>
      <c r="I39" s="9"/>
      <c r="J39" s="9"/>
      <c r="K39" s="9"/>
      <c r="L39" s="4">
        <f t="shared" si="4"/>
        <v>27.166666666666668</v>
      </c>
      <c r="N39">
        <v>27.166666666666668</v>
      </c>
      <c r="P39" t="b">
        <f t="shared" si="3"/>
        <v>1</v>
      </c>
    </row>
    <row r="40" spans="1:16" x14ac:dyDescent="0.3">
      <c r="A40" s="9" t="s">
        <v>18</v>
      </c>
      <c r="B40" s="8">
        <v>167</v>
      </c>
      <c r="C40" s="7" t="s">
        <v>1</v>
      </c>
      <c r="D40" s="6">
        <v>5</v>
      </c>
      <c r="E40" s="5">
        <v>2</v>
      </c>
      <c r="F40" s="5" t="s">
        <v>33</v>
      </c>
      <c r="G40" s="9"/>
      <c r="H40" s="9"/>
      <c r="I40" s="9"/>
      <c r="J40" s="9"/>
      <c r="K40" s="9"/>
      <c r="L40" s="4">
        <f t="shared" si="4"/>
        <v>13.916666666666666</v>
      </c>
      <c r="N40">
        <v>13.916666666666666</v>
      </c>
      <c r="P40" t="b">
        <f t="shared" si="3"/>
        <v>1</v>
      </c>
    </row>
    <row r="41" spans="1:16" x14ac:dyDescent="0.3">
      <c r="A41" s="9" t="s">
        <v>17</v>
      </c>
      <c r="B41" s="8">
        <v>156</v>
      </c>
      <c r="C41" s="7" t="s">
        <v>1</v>
      </c>
      <c r="D41" s="6">
        <v>5</v>
      </c>
      <c r="E41" s="5">
        <v>2</v>
      </c>
      <c r="F41" s="5" t="s">
        <v>33</v>
      </c>
      <c r="G41" s="9"/>
      <c r="H41" s="9"/>
      <c r="I41" s="9"/>
      <c r="J41" s="9"/>
      <c r="K41" s="9"/>
      <c r="L41" s="4">
        <f t="shared" si="4"/>
        <v>13</v>
      </c>
      <c r="N41">
        <v>13</v>
      </c>
      <c r="P41" t="b">
        <f t="shared" si="3"/>
        <v>1</v>
      </c>
    </row>
    <row r="42" spans="1:16" x14ac:dyDescent="0.3">
      <c r="A42" s="9" t="s">
        <v>16</v>
      </c>
      <c r="B42" s="8">
        <v>100</v>
      </c>
      <c r="C42" s="7" t="s">
        <v>1</v>
      </c>
      <c r="D42" s="6">
        <v>11</v>
      </c>
      <c r="E42" s="5">
        <v>2</v>
      </c>
      <c r="F42" s="5" t="s">
        <v>33</v>
      </c>
      <c r="G42" s="9"/>
      <c r="H42" s="9"/>
      <c r="I42" s="9"/>
      <c r="J42" s="9"/>
      <c r="K42" s="9"/>
      <c r="L42" s="4">
        <f t="shared" si="4"/>
        <v>8.3333333333333339</v>
      </c>
      <c r="N42">
        <v>8.3333333333333339</v>
      </c>
      <c r="P42" t="b">
        <f t="shared" si="3"/>
        <v>1</v>
      </c>
    </row>
    <row r="43" spans="1:16" x14ac:dyDescent="0.3">
      <c r="A43" s="9" t="s">
        <v>15</v>
      </c>
      <c r="B43" s="8">
        <v>100</v>
      </c>
      <c r="C43" s="7" t="s">
        <v>1</v>
      </c>
      <c r="D43" s="6">
        <v>11</v>
      </c>
      <c r="E43" s="5">
        <v>2</v>
      </c>
      <c r="F43" s="5" t="s">
        <v>33</v>
      </c>
      <c r="G43" s="9"/>
      <c r="H43" s="9"/>
      <c r="I43" s="9"/>
      <c r="J43" s="9"/>
      <c r="K43" s="9"/>
      <c r="L43" s="4">
        <f t="shared" si="4"/>
        <v>8.3333333333333339</v>
      </c>
      <c r="N43">
        <v>8.3333333333333339</v>
      </c>
      <c r="P43" t="b">
        <f t="shared" si="3"/>
        <v>1</v>
      </c>
    </row>
    <row r="44" spans="1:16" x14ac:dyDescent="0.3">
      <c r="A44" s="9" t="s">
        <v>14</v>
      </c>
      <c r="B44" s="8">
        <v>1000</v>
      </c>
      <c r="C44" s="7" t="s">
        <v>1</v>
      </c>
      <c r="D44" s="6">
        <v>5</v>
      </c>
      <c r="E44" s="5">
        <v>2</v>
      </c>
      <c r="F44" s="5" t="s">
        <v>33</v>
      </c>
      <c r="G44" s="9"/>
      <c r="H44" s="9"/>
      <c r="I44" s="9"/>
      <c r="J44" s="9"/>
      <c r="K44" s="9"/>
      <c r="L44" s="4">
        <f t="shared" si="4"/>
        <v>83.333333333333329</v>
      </c>
      <c r="N44">
        <v>83.333333333333329</v>
      </c>
      <c r="P44" t="b">
        <f t="shared" si="3"/>
        <v>1</v>
      </c>
    </row>
    <row r="45" spans="1:16" x14ac:dyDescent="0.3">
      <c r="A45" s="9" t="s">
        <v>13</v>
      </c>
      <c r="B45" s="8">
        <v>170</v>
      </c>
      <c r="C45" s="7" t="s">
        <v>1</v>
      </c>
      <c r="D45" s="6">
        <v>10</v>
      </c>
      <c r="E45" s="5">
        <v>2</v>
      </c>
      <c r="F45" s="5" t="s">
        <v>33</v>
      </c>
      <c r="G45" s="9"/>
      <c r="H45" s="9"/>
      <c r="I45" s="9"/>
      <c r="J45" s="9"/>
      <c r="K45" s="9"/>
      <c r="L45" s="4">
        <f t="shared" si="4"/>
        <v>14.166666666666666</v>
      </c>
      <c r="N45">
        <v>14.166666666666666</v>
      </c>
      <c r="P45" t="b">
        <f t="shared" si="3"/>
        <v>1</v>
      </c>
    </row>
    <row r="46" spans="1:16" x14ac:dyDescent="0.3">
      <c r="A46" s="9" t="s">
        <v>12</v>
      </c>
      <c r="B46" s="8">
        <v>120</v>
      </c>
      <c r="C46" s="7" t="s">
        <v>1</v>
      </c>
      <c r="D46" s="6">
        <v>10</v>
      </c>
      <c r="E46" s="5">
        <v>2</v>
      </c>
      <c r="F46" s="5" t="s">
        <v>33</v>
      </c>
      <c r="G46" s="9"/>
      <c r="H46" s="9"/>
      <c r="I46" s="9"/>
      <c r="J46" s="9"/>
      <c r="K46" s="9"/>
      <c r="L46" s="4">
        <f t="shared" si="4"/>
        <v>10</v>
      </c>
      <c r="N46">
        <v>10</v>
      </c>
      <c r="P46" t="b">
        <f t="shared" si="3"/>
        <v>1</v>
      </c>
    </row>
    <row r="47" spans="1:16" x14ac:dyDescent="0.3">
      <c r="A47" s="9" t="s">
        <v>11</v>
      </c>
      <c r="B47" s="8">
        <v>139</v>
      </c>
      <c r="C47" s="7" t="s">
        <v>1</v>
      </c>
      <c r="D47" s="6">
        <v>10</v>
      </c>
      <c r="E47" s="5">
        <v>2</v>
      </c>
      <c r="F47" s="5" t="s">
        <v>33</v>
      </c>
      <c r="G47" s="9"/>
      <c r="H47" s="9"/>
      <c r="I47" s="9"/>
      <c r="J47" s="9"/>
      <c r="K47" s="9"/>
      <c r="L47" s="4">
        <f t="shared" si="4"/>
        <v>11.583333333333334</v>
      </c>
      <c r="N47">
        <v>11.583333333333334</v>
      </c>
      <c r="P47" t="b">
        <f t="shared" si="3"/>
        <v>1</v>
      </c>
    </row>
    <row r="48" spans="1:16" x14ac:dyDescent="0.3">
      <c r="A48" s="9" t="s">
        <v>10</v>
      </c>
      <c r="B48" s="8">
        <v>389</v>
      </c>
      <c r="C48" s="7" t="s">
        <v>1</v>
      </c>
      <c r="D48" s="6">
        <v>7</v>
      </c>
      <c r="E48" s="5">
        <v>2</v>
      </c>
      <c r="F48" s="5" t="s">
        <v>33</v>
      </c>
      <c r="G48" s="9"/>
      <c r="H48" s="9"/>
      <c r="I48" s="9"/>
      <c r="J48" s="9"/>
      <c r="K48" s="9"/>
      <c r="L48" s="4">
        <f t="shared" si="4"/>
        <v>32.416666666666664</v>
      </c>
      <c r="N48">
        <v>32.416666666666664</v>
      </c>
      <c r="P48" t="b">
        <f t="shared" si="3"/>
        <v>1</v>
      </c>
    </row>
    <row r="49" spans="1:16" x14ac:dyDescent="0.3">
      <c r="A49" s="9" t="s">
        <v>9</v>
      </c>
      <c r="B49" s="8">
        <v>20</v>
      </c>
      <c r="C49" s="7" t="s">
        <v>1</v>
      </c>
      <c r="D49" s="6">
        <v>10</v>
      </c>
      <c r="E49" s="5">
        <v>2</v>
      </c>
      <c r="F49" s="5" t="s">
        <v>33</v>
      </c>
      <c r="G49" s="9"/>
      <c r="H49" s="9"/>
      <c r="I49" s="9"/>
      <c r="J49" s="9"/>
      <c r="K49" s="9"/>
      <c r="L49" s="4">
        <f t="shared" si="4"/>
        <v>1.6666666666666667</v>
      </c>
      <c r="N49">
        <v>1.6666666666666667</v>
      </c>
      <c r="P49" t="b">
        <f t="shared" si="3"/>
        <v>1</v>
      </c>
    </row>
    <row r="50" spans="1:16" x14ac:dyDescent="0.3">
      <c r="A50" s="9" t="s">
        <v>8</v>
      </c>
      <c r="B50" s="8">
        <v>20</v>
      </c>
      <c r="C50" s="7" t="s">
        <v>1</v>
      </c>
      <c r="D50" s="6">
        <v>10</v>
      </c>
      <c r="E50" s="5">
        <v>2</v>
      </c>
      <c r="F50" s="5" t="s">
        <v>33</v>
      </c>
      <c r="G50" s="9"/>
      <c r="H50" s="9"/>
      <c r="I50" s="9"/>
      <c r="J50" s="9"/>
      <c r="K50" s="9"/>
      <c r="L50" s="4">
        <f t="shared" si="4"/>
        <v>1.6666666666666667</v>
      </c>
      <c r="N50">
        <v>1.6666666666666667</v>
      </c>
      <c r="P50" t="b">
        <f t="shared" si="3"/>
        <v>1</v>
      </c>
    </row>
    <row r="51" spans="1:16" x14ac:dyDescent="0.3">
      <c r="A51" s="9" t="s">
        <v>7</v>
      </c>
      <c r="B51" s="8">
        <v>20</v>
      </c>
      <c r="C51" s="7" t="s">
        <v>1</v>
      </c>
      <c r="D51" s="6">
        <v>10</v>
      </c>
      <c r="E51" s="5">
        <v>2</v>
      </c>
      <c r="F51" s="5" t="s">
        <v>33</v>
      </c>
      <c r="G51" s="9"/>
      <c r="H51" s="9"/>
      <c r="I51" s="9"/>
      <c r="J51" s="9"/>
      <c r="K51" s="9"/>
      <c r="L51" s="4">
        <f t="shared" si="4"/>
        <v>1.6666666666666667</v>
      </c>
      <c r="N51">
        <v>1.6666666666666667</v>
      </c>
      <c r="P51" t="b">
        <f t="shared" si="3"/>
        <v>1</v>
      </c>
    </row>
    <row r="52" spans="1:16" x14ac:dyDescent="0.3">
      <c r="A52" s="9" t="s">
        <v>6</v>
      </c>
      <c r="B52" s="8">
        <v>130</v>
      </c>
      <c r="C52" s="7" t="s">
        <v>1</v>
      </c>
      <c r="D52" s="6">
        <v>10</v>
      </c>
      <c r="E52" s="5">
        <v>2</v>
      </c>
      <c r="F52" s="5" t="s">
        <v>33</v>
      </c>
      <c r="G52" s="9"/>
      <c r="H52" s="9"/>
      <c r="I52" s="9"/>
      <c r="J52" s="9"/>
      <c r="K52" s="9"/>
      <c r="L52" s="4">
        <f t="shared" si="4"/>
        <v>10.833333333333334</v>
      </c>
      <c r="N52">
        <v>10.833333333333334</v>
      </c>
      <c r="P52" t="b">
        <f t="shared" si="3"/>
        <v>1</v>
      </c>
    </row>
    <row r="53" spans="1:16" x14ac:dyDescent="0.3">
      <c r="A53" s="9" t="s">
        <v>5</v>
      </c>
      <c r="B53" s="8">
        <v>20</v>
      </c>
      <c r="C53" s="7" t="s">
        <v>1</v>
      </c>
      <c r="D53" s="6">
        <v>10</v>
      </c>
      <c r="E53" s="5">
        <v>2</v>
      </c>
      <c r="F53" s="5" t="s">
        <v>33</v>
      </c>
      <c r="G53" s="9"/>
      <c r="H53" s="9"/>
      <c r="I53" s="9"/>
      <c r="J53" s="9"/>
      <c r="K53" s="9"/>
      <c r="L53" s="4">
        <f t="shared" si="4"/>
        <v>1.6666666666666667</v>
      </c>
      <c r="N53">
        <v>1.6666666666666667</v>
      </c>
      <c r="P53" t="b">
        <f t="shared" si="3"/>
        <v>1</v>
      </c>
    </row>
    <row r="54" spans="1:16" x14ac:dyDescent="0.3">
      <c r="A54" s="9" t="s">
        <v>4</v>
      </c>
      <c r="B54" s="8">
        <v>15</v>
      </c>
      <c r="C54" s="7" t="s">
        <v>1</v>
      </c>
      <c r="D54" s="6">
        <v>10</v>
      </c>
      <c r="E54" s="5">
        <v>2</v>
      </c>
      <c r="F54" s="5" t="s">
        <v>33</v>
      </c>
      <c r="G54" s="9"/>
      <c r="H54" s="9"/>
      <c r="I54" s="9"/>
      <c r="J54" s="9"/>
      <c r="K54" s="9"/>
      <c r="L54" s="4">
        <f t="shared" si="4"/>
        <v>1.25</v>
      </c>
      <c r="N54">
        <v>1.25</v>
      </c>
      <c r="P54" t="b">
        <f t="shared" si="3"/>
        <v>1</v>
      </c>
    </row>
    <row r="55" spans="1:16" x14ac:dyDescent="0.3">
      <c r="A55" s="9" t="s">
        <v>3</v>
      </c>
      <c r="B55" s="8">
        <v>70</v>
      </c>
      <c r="C55" s="7" t="s">
        <v>1</v>
      </c>
      <c r="D55" s="6">
        <v>10</v>
      </c>
      <c r="E55" s="5">
        <v>2</v>
      </c>
      <c r="F55" s="5" t="s">
        <v>33</v>
      </c>
      <c r="G55" s="9"/>
      <c r="H55" s="9"/>
      <c r="I55" s="9"/>
      <c r="J55" s="9"/>
      <c r="K55" s="9"/>
      <c r="L55" s="4">
        <f t="shared" si="4"/>
        <v>5.833333333333333</v>
      </c>
      <c r="N55">
        <v>5.833333333333333</v>
      </c>
      <c r="P55" t="b">
        <f t="shared" si="3"/>
        <v>1</v>
      </c>
    </row>
    <row r="56" spans="1:16" x14ac:dyDescent="0.3">
      <c r="A56" s="9" t="s">
        <v>2</v>
      </c>
      <c r="B56" s="8">
        <v>65</v>
      </c>
      <c r="C56" s="7" t="s">
        <v>1</v>
      </c>
      <c r="D56" s="6">
        <v>10</v>
      </c>
      <c r="E56" s="5">
        <v>2</v>
      </c>
      <c r="F56" s="5" t="s">
        <v>33</v>
      </c>
      <c r="G56" s="9"/>
      <c r="H56" s="9"/>
      <c r="I56" s="9"/>
      <c r="J56" s="9"/>
      <c r="K56" s="9"/>
      <c r="L56" s="4">
        <f t="shared" si="4"/>
        <v>5.416666666666667</v>
      </c>
      <c r="N56">
        <v>5.416666666666667</v>
      </c>
      <c r="P56" t="b">
        <f t="shared" si="3"/>
        <v>1</v>
      </c>
    </row>
    <row r="57" spans="1:16" x14ac:dyDescent="0.3">
      <c r="A57" s="9"/>
      <c r="B57" s="27"/>
      <c r="C57" s="9"/>
      <c r="D57" s="9"/>
      <c r="E57" s="9"/>
      <c r="F57" s="5"/>
      <c r="G57" s="9"/>
      <c r="H57" s="9"/>
      <c r="I57" s="9"/>
      <c r="J57" s="9"/>
      <c r="K57" s="9"/>
    </row>
    <row r="58" spans="1:16" x14ac:dyDescent="0.3">
      <c r="A58" s="9" t="s">
        <v>60</v>
      </c>
      <c r="B58" s="8">
        <v>500</v>
      </c>
      <c r="C58" s="7" t="s">
        <v>23</v>
      </c>
      <c r="D58" s="6"/>
      <c r="E58" s="5"/>
      <c r="F58" s="5"/>
      <c r="G58" s="9"/>
      <c r="H58" s="9"/>
      <c r="I58" s="9"/>
      <c r="J58" s="9"/>
      <c r="K58" s="9"/>
      <c r="L58" s="4">
        <f t="shared" ref="L58" si="5">IF(C58="a",B58/12,IF(C58="m",B58,IF(C58="w",(B58*52)/12,0)))</f>
        <v>500</v>
      </c>
    </row>
    <row r="59" spans="1:16" x14ac:dyDescent="0.3">
      <c r="A59" s="9"/>
      <c r="B59" s="27"/>
      <c r="C59" s="9"/>
      <c r="D59" s="9"/>
      <c r="E59" s="9"/>
      <c r="F59" s="5"/>
      <c r="G59" s="9"/>
      <c r="H59" s="9"/>
      <c r="I59" s="9"/>
      <c r="J59" s="9"/>
      <c r="K59" s="9"/>
      <c r="L59" s="4"/>
    </row>
    <row r="60" spans="1:16" x14ac:dyDescent="0.3">
      <c r="A60" s="9"/>
      <c r="B60" s="27"/>
      <c r="C60" s="9"/>
      <c r="D60" s="9"/>
      <c r="E60" s="9"/>
      <c r="F60" s="5"/>
      <c r="G60" s="9"/>
      <c r="H60" s="9"/>
      <c r="I60" s="9"/>
      <c r="J60" s="9"/>
      <c r="K60" s="9"/>
      <c r="L60" s="4"/>
    </row>
    <row r="61" spans="1:16" x14ac:dyDescent="0.3">
      <c r="L61" s="4">
        <f>SUM(L3:L60)</f>
        <v>8527.6966666666667</v>
      </c>
      <c r="P61" s="34">
        <f>L61*12</f>
        <v>102332.36</v>
      </c>
    </row>
    <row r="62" spans="1:16" x14ac:dyDescent="0.3">
      <c r="L62" s="4">
        <v>3500</v>
      </c>
    </row>
    <row r="63" spans="1:16" x14ac:dyDescent="0.3">
      <c r="L63" s="4"/>
    </row>
    <row r="64" spans="1:16" x14ac:dyDescent="0.3">
      <c r="L64" s="4"/>
    </row>
    <row r="65" spans="11:12" x14ac:dyDescent="0.3">
      <c r="L65" s="4"/>
    </row>
    <row r="66" spans="11:12" x14ac:dyDescent="0.3">
      <c r="K66" t="s">
        <v>73</v>
      </c>
      <c r="L66" s="4">
        <f>SUM(L61:L65)</f>
        <v>12027.696666666667</v>
      </c>
    </row>
    <row r="67" spans="11:12" x14ac:dyDescent="0.3">
      <c r="K67" t="s">
        <v>74</v>
      </c>
      <c r="L67" s="4">
        <v>8000</v>
      </c>
    </row>
    <row r="68" spans="11:12" x14ac:dyDescent="0.3">
      <c r="K68" t="s">
        <v>75</v>
      </c>
      <c r="L68" s="4">
        <v>7000</v>
      </c>
    </row>
    <row r="69" spans="11:12" x14ac:dyDescent="0.3">
      <c r="L69" s="4"/>
    </row>
    <row r="70" spans="11:12" x14ac:dyDescent="0.3">
      <c r="K70" t="s">
        <v>76</v>
      </c>
      <c r="L70" s="4">
        <f>(SUM(L67:L68)-L66)</f>
        <v>2972.3033333333333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D2FEE-6154-43AB-9F35-C23513D07A93}">
  <sheetPr codeName="Sheet5"/>
  <dimension ref="A1:L74"/>
  <sheetViews>
    <sheetView workbookViewId="0">
      <selection activeCell="P44" sqref="P44"/>
    </sheetView>
  </sheetViews>
  <sheetFormatPr defaultRowHeight="14.4" x14ac:dyDescent="0.3"/>
  <cols>
    <col min="1" max="1" width="36.77734375" customWidth="1"/>
    <col min="2" max="2" width="12.33203125" style="4" bestFit="1" customWidth="1"/>
    <col min="3" max="3" width="18.77734375" style="3" bestFit="1" customWidth="1"/>
    <col min="4" max="4" width="16.77734375" style="2" bestFit="1" customWidth="1"/>
    <col min="5" max="5" width="13" style="1" customWidth="1"/>
    <col min="6" max="6" width="17.33203125" style="1" bestFit="1" customWidth="1"/>
    <col min="7" max="7" width="13" style="1" customWidth="1"/>
    <col min="8" max="8" width="4.6640625" bestFit="1" customWidth="1"/>
    <col min="9" max="9" width="7.6640625" bestFit="1" customWidth="1"/>
    <col min="10" max="10" width="14.44140625" bestFit="1" customWidth="1"/>
    <col min="12" max="12" width="11.21875" style="4" bestFit="1" customWidth="1"/>
  </cols>
  <sheetData>
    <row r="1" spans="1:12" x14ac:dyDescent="0.3">
      <c r="A1" s="18" t="s">
        <v>58</v>
      </c>
      <c r="B1" s="17" t="s">
        <v>57</v>
      </c>
      <c r="C1" s="16" t="s">
        <v>56</v>
      </c>
      <c r="D1" s="15" t="s">
        <v>55</v>
      </c>
      <c r="E1" s="14" t="s">
        <v>54</v>
      </c>
      <c r="F1" s="14" t="s">
        <v>53</v>
      </c>
      <c r="G1" s="13"/>
    </row>
    <row r="2" spans="1:12" x14ac:dyDescent="0.3">
      <c r="A2" s="9" t="s">
        <v>52</v>
      </c>
      <c r="B2" s="8">
        <f>SUMIF(F:F, "y", B:B)</f>
        <v>7601.3899999999994</v>
      </c>
      <c r="C2" s="7" t="s">
        <v>23</v>
      </c>
      <c r="D2" s="6"/>
      <c r="E2" s="5">
        <v>15</v>
      </c>
      <c r="F2" s="5"/>
      <c r="L2" s="4">
        <f>IF(C2="a",B2/12,IF(C2="m",B2,IF(C2="w",(B2*52)/12,0)))</f>
        <v>7601.3899999999994</v>
      </c>
    </row>
    <row r="3" spans="1:12" x14ac:dyDescent="0.3">
      <c r="A3" s="9" t="s">
        <v>61</v>
      </c>
      <c r="B3" s="8" t="s">
        <v>61</v>
      </c>
      <c r="C3" s="7" t="s">
        <v>61</v>
      </c>
      <c r="D3" s="6" t="s">
        <v>61</v>
      </c>
      <c r="E3" s="5" t="s">
        <v>61</v>
      </c>
      <c r="F3" s="5" t="s">
        <v>61</v>
      </c>
    </row>
    <row r="4" spans="1:12" x14ac:dyDescent="0.3">
      <c r="A4" s="9" t="s">
        <v>51</v>
      </c>
      <c r="B4" s="8">
        <v>3682.34</v>
      </c>
      <c r="C4" s="7" t="s">
        <v>1</v>
      </c>
      <c r="D4" s="6">
        <v>12</v>
      </c>
      <c r="E4" s="5">
        <v>1</v>
      </c>
      <c r="F4" s="5" t="s">
        <v>33</v>
      </c>
      <c r="L4" s="4">
        <f t="shared" ref="L4:L63" si="0">IF(C4="a",B4/12,IF(C4="m",B4,IF(C4="w",(B4*52)/12,0)))</f>
        <v>306.86166666666668</v>
      </c>
    </row>
    <row r="5" spans="1:12" x14ac:dyDescent="0.3">
      <c r="A5" s="9" t="s">
        <v>51</v>
      </c>
      <c r="B5" s="8">
        <v>3682.34</v>
      </c>
      <c r="C5" s="7" t="s">
        <v>1</v>
      </c>
      <c r="D5" s="6">
        <v>4</v>
      </c>
      <c r="E5" s="5">
        <v>1</v>
      </c>
      <c r="F5" s="5" t="s">
        <v>33</v>
      </c>
      <c r="L5" s="4">
        <f t="shared" si="0"/>
        <v>306.86166666666668</v>
      </c>
    </row>
    <row r="6" spans="1:12" x14ac:dyDescent="0.3">
      <c r="A6" s="9" t="s">
        <v>50</v>
      </c>
      <c r="B6" s="8">
        <v>1452</v>
      </c>
      <c r="C6" s="7" t="s">
        <v>1</v>
      </c>
      <c r="D6" s="6">
        <v>8</v>
      </c>
      <c r="E6" s="5">
        <v>1</v>
      </c>
      <c r="F6" s="5" t="s">
        <v>33</v>
      </c>
      <c r="L6" s="4">
        <f t="shared" si="0"/>
        <v>121</v>
      </c>
    </row>
    <row r="7" spans="1:12" x14ac:dyDescent="0.3">
      <c r="A7" s="9" t="s">
        <v>49</v>
      </c>
      <c r="B7" s="8">
        <v>600</v>
      </c>
      <c r="C7" s="7" t="s">
        <v>23</v>
      </c>
      <c r="D7" s="6"/>
      <c r="E7" s="5">
        <v>29</v>
      </c>
      <c r="F7" s="5" t="s">
        <v>0</v>
      </c>
      <c r="L7" s="4">
        <f t="shared" si="0"/>
        <v>600</v>
      </c>
    </row>
    <row r="8" spans="1:12" x14ac:dyDescent="0.3">
      <c r="A8" s="9" t="s">
        <v>48</v>
      </c>
      <c r="B8" s="8">
        <v>175</v>
      </c>
      <c r="C8" s="7" t="s">
        <v>23</v>
      </c>
      <c r="D8" s="6"/>
      <c r="E8" s="5">
        <v>25</v>
      </c>
      <c r="F8" s="5" t="s">
        <v>0</v>
      </c>
      <c r="L8" s="4">
        <f t="shared" si="0"/>
        <v>175</v>
      </c>
    </row>
    <row r="9" spans="1:12" x14ac:dyDescent="0.3">
      <c r="A9" s="9" t="s">
        <v>47</v>
      </c>
      <c r="B9" s="8">
        <v>136</v>
      </c>
      <c r="C9" s="7" t="s">
        <v>23</v>
      </c>
      <c r="D9" s="6"/>
      <c r="E9" s="5">
        <v>1</v>
      </c>
      <c r="F9" s="5" t="s">
        <v>0</v>
      </c>
      <c r="L9" s="4">
        <f t="shared" si="0"/>
        <v>136</v>
      </c>
    </row>
    <row r="10" spans="1:12" x14ac:dyDescent="0.3">
      <c r="A10" s="9" t="s">
        <v>61</v>
      </c>
      <c r="B10" s="8" t="s">
        <v>61</v>
      </c>
      <c r="C10" s="7" t="s">
        <v>61</v>
      </c>
      <c r="D10" s="6" t="s">
        <v>61</v>
      </c>
      <c r="E10" s="5" t="s">
        <v>61</v>
      </c>
      <c r="F10" s="5" t="s">
        <v>61</v>
      </c>
      <c r="L10" s="4">
        <f t="shared" si="0"/>
        <v>0</v>
      </c>
    </row>
    <row r="11" spans="1:12" x14ac:dyDescent="0.3">
      <c r="A11" s="9" t="s">
        <v>46</v>
      </c>
      <c r="B11" s="8">
        <v>300</v>
      </c>
      <c r="C11" s="7" t="s">
        <v>21</v>
      </c>
      <c r="D11" s="6"/>
      <c r="E11" s="5"/>
      <c r="F11" s="5" t="s">
        <v>0</v>
      </c>
      <c r="L11" s="4">
        <f t="shared" si="0"/>
        <v>1300</v>
      </c>
    </row>
    <row r="12" spans="1:12" x14ac:dyDescent="0.3">
      <c r="A12" s="9" t="s">
        <v>45</v>
      </c>
      <c r="B12" s="8">
        <v>150</v>
      </c>
      <c r="C12" s="7" t="s">
        <v>21</v>
      </c>
      <c r="D12" s="6"/>
      <c r="E12" s="5"/>
      <c r="F12" s="5" t="s">
        <v>0</v>
      </c>
      <c r="L12" s="4">
        <f t="shared" si="0"/>
        <v>650</v>
      </c>
    </row>
    <row r="13" spans="1:12" x14ac:dyDescent="0.3">
      <c r="A13" s="9" t="s">
        <v>61</v>
      </c>
      <c r="B13" s="8" t="s">
        <v>61</v>
      </c>
      <c r="C13" s="7" t="s">
        <v>61</v>
      </c>
      <c r="D13" s="6" t="s">
        <v>61</v>
      </c>
      <c r="E13" s="5" t="s">
        <v>61</v>
      </c>
      <c r="F13" s="5" t="s">
        <v>61</v>
      </c>
    </row>
    <row r="14" spans="1:12" x14ac:dyDescent="0.3">
      <c r="A14" s="9" t="s">
        <v>44</v>
      </c>
      <c r="B14" s="8">
        <v>129.99</v>
      </c>
      <c r="C14" s="7" t="s">
        <v>23</v>
      </c>
      <c r="D14" s="6"/>
      <c r="E14" s="5">
        <v>13</v>
      </c>
      <c r="F14" s="5" t="s">
        <v>0</v>
      </c>
      <c r="L14" s="4">
        <f t="shared" si="0"/>
        <v>129.99</v>
      </c>
    </row>
    <row r="15" spans="1:12" x14ac:dyDescent="0.3">
      <c r="A15" s="9" t="s">
        <v>43</v>
      </c>
      <c r="B15" s="8">
        <v>82.99</v>
      </c>
      <c r="C15" s="7" t="s">
        <v>23</v>
      </c>
      <c r="D15" s="6"/>
      <c r="E15" s="5">
        <v>24</v>
      </c>
      <c r="F15" s="5" t="s">
        <v>0</v>
      </c>
      <c r="L15" s="4">
        <f t="shared" si="0"/>
        <v>82.99</v>
      </c>
    </row>
    <row r="16" spans="1:12" x14ac:dyDescent="0.3">
      <c r="A16" s="9" t="s">
        <v>42</v>
      </c>
      <c r="B16" s="8">
        <v>9.99</v>
      </c>
      <c r="C16" s="7" t="s">
        <v>23</v>
      </c>
      <c r="D16" s="6"/>
      <c r="E16" s="5">
        <v>5</v>
      </c>
      <c r="F16" s="5" t="s">
        <v>0</v>
      </c>
      <c r="L16" s="4">
        <f t="shared" si="0"/>
        <v>9.99</v>
      </c>
    </row>
    <row r="17" spans="1:12" x14ac:dyDescent="0.3">
      <c r="A17" s="9" t="s">
        <v>41</v>
      </c>
      <c r="B17" s="8">
        <v>22.99</v>
      </c>
      <c r="C17" s="7" t="s">
        <v>23</v>
      </c>
      <c r="D17" s="6"/>
      <c r="E17" s="5">
        <v>5</v>
      </c>
      <c r="F17" s="5" t="s">
        <v>0</v>
      </c>
      <c r="L17" s="4">
        <f t="shared" si="0"/>
        <v>22.99</v>
      </c>
    </row>
    <row r="18" spans="1:12" x14ac:dyDescent="0.3">
      <c r="A18" s="9" t="s">
        <v>40</v>
      </c>
      <c r="B18" s="8">
        <v>19.989999999999998</v>
      </c>
      <c r="C18" s="7" t="s">
        <v>23</v>
      </c>
      <c r="D18" s="6"/>
      <c r="E18" s="5">
        <v>22</v>
      </c>
      <c r="F18" s="5" t="s">
        <v>0</v>
      </c>
      <c r="L18" s="4">
        <f t="shared" si="0"/>
        <v>19.989999999999998</v>
      </c>
    </row>
    <row r="19" spans="1:12" x14ac:dyDescent="0.3">
      <c r="A19" s="9" t="s">
        <v>39</v>
      </c>
      <c r="B19" s="8">
        <v>19.989999999999998</v>
      </c>
      <c r="C19" s="7" t="s">
        <v>23</v>
      </c>
      <c r="D19" s="6"/>
      <c r="E19" s="5">
        <v>22</v>
      </c>
      <c r="F19" s="5" t="s">
        <v>0</v>
      </c>
      <c r="L19" s="4">
        <f t="shared" si="0"/>
        <v>19.989999999999998</v>
      </c>
    </row>
    <row r="20" spans="1:12" x14ac:dyDescent="0.3">
      <c r="A20" s="9" t="s">
        <v>38</v>
      </c>
      <c r="B20" s="8">
        <v>300</v>
      </c>
      <c r="C20" s="7" t="s">
        <v>23</v>
      </c>
      <c r="D20" s="6"/>
      <c r="E20" s="5">
        <v>20</v>
      </c>
      <c r="F20" s="5" t="s">
        <v>0</v>
      </c>
      <c r="L20" s="4">
        <f t="shared" si="0"/>
        <v>300</v>
      </c>
    </row>
    <row r="21" spans="1:12" x14ac:dyDescent="0.3">
      <c r="A21" s="9" t="s">
        <v>37</v>
      </c>
      <c r="B21" s="8">
        <v>98</v>
      </c>
      <c r="C21" s="7" t="s">
        <v>23</v>
      </c>
      <c r="D21" s="6"/>
      <c r="E21" s="5">
        <v>27</v>
      </c>
      <c r="F21" s="5" t="s">
        <v>0</v>
      </c>
      <c r="L21" s="4">
        <f t="shared" si="0"/>
        <v>98</v>
      </c>
    </row>
    <row r="22" spans="1:12" x14ac:dyDescent="0.3">
      <c r="A22" s="9" t="s">
        <v>59</v>
      </c>
      <c r="B22" s="8">
        <v>231.2</v>
      </c>
      <c r="C22" s="7" t="s">
        <v>23</v>
      </c>
      <c r="D22" s="6"/>
      <c r="E22" s="5">
        <v>27</v>
      </c>
      <c r="F22" s="5" t="s">
        <v>0</v>
      </c>
      <c r="L22" s="4">
        <f t="shared" si="0"/>
        <v>231.2</v>
      </c>
    </row>
    <row r="23" spans="1:12" x14ac:dyDescent="0.3">
      <c r="A23" s="9" t="s">
        <v>36</v>
      </c>
      <c r="B23" s="8">
        <v>750</v>
      </c>
      <c r="C23" s="7" t="s">
        <v>23</v>
      </c>
      <c r="D23" s="6"/>
      <c r="E23" s="5">
        <v>7</v>
      </c>
      <c r="F23" s="5" t="s">
        <v>33</v>
      </c>
      <c r="L23" s="4">
        <f t="shared" si="0"/>
        <v>750</v>
      </c>
    </row>
    <row r="24" spans="1:12" x14ac:dyDescent="0.3">
      <c r="A24" s="9" t="s">
        <v>61</v>
      </c>
      <c r="B24" s="8" t="s">
        <v>61</v>
      </c>
      <c r="C24" s="7" t="s">
        <v>61</v>
      </c>
      <c r="D24" s="6" t="s">
        <v>61</v>
      </c>
      <c r="E24" s="5" t="s">
        <v>61</v>
      </c>
      <c r="F24" s="5" t="s">
        <v>61</v>
      </c>
    </row>
    <row r="25" spans="1:12" x14ac:dyDescent="0.3">
      <c r="A25" s="9" t="s">
        <v>35</v>
      </c>
      <c r="B25" s="8">
        <v>465</v>
      </c>
      <c r="C25" s="7" t="s">
        <v>23</v>
      </c>
      <c r="D25" s="6"/>
      <c r="E25" s="5">
        <v>15</v>
      </c>
      <c r="F25" s="5" t="s">
        <v>33</v>
      </c>
      <c r="L25" s="4">
        <f t="shared" si="0"/>
        <v>465</v>
      </c>
    </row>
    <row r="26" spans="1:12" x14ac:dyDescent="0.3">
      <c r="A26" s="9" t="s">
        <v>34</v>
      </c>
      <c r="B26" s="8">
        <v>100</v>
      </c>
      <c r="C26" s="7" t="s">
        <v>23</v>
      </c>
      <c r="D26" s="6"/>
      <c r="E26" s="5">
        <v>15</v>
      </c>
      <c r="F26" s="5" t="s">
        <v>33</v>
      </c>
      <c r="L26" s="4">
        <f t="shared" si="0"/>
        <v>100</v>
      </c>
    </row>
    <row r="27" spans="1:12" x14ac:dyDescent="0.3">
      <c r="A27" s="9" t="s">
        <v>61</v>
      </c>
      <c r="B27" s="8" t="s">
        <v>61</v>
      </c>
      <c r="C27" s="7" t="s">
        <v>61</v>
      </c>
      <c r="D27" s="6" t="s">
        <v>61</v>
      </c>
      <c r="E27" s="5" t="s">
        <v>61</v>
      </c>
      <c r="F27" s="5" t="s">
        <v>61</v>
      </c>
    </row>
    <row r="28" spans="1:12" x14ac:dyDescent="0.3">
      <c r="A28" s="9" t="s">
        <v>32</v>
      </c>
      <c r="B28" s="8">
        <v>730</v>
      </c>
      <c r="C28" s="7" t="s">
        <v>23</v>
      </c>
      <c r="D28" s="6"/>
      <c r="E28" s="5">
        <v>20</v>
      </c>
      <c r="F28" s="5" t="s">
        <v>0</v>
      </c>
      <c r="L28" s="4">
        <f t="shared" si="0"/>
        <v>730</v>
      </c>
    </row>
    <row r="29" spans="1:12" x14ac:dyDescent="0.3">
      <c r="A29" s="9" t="s">
        <v>31</v>
      </c>
      <c r="B29" s="8">
        <v>176</v>
      </c>
      <c r="C29" s="7" t="s">
        <v>23</v>
      </c>
      <c r="D29" s="6"/>
      <c r="E29" s="5">
        <v>1</v>
      </c>
      <c r="F29" s="5" t="s">
        <v>0</v>
      </c>
      <c r="L29" s="4">
        <f t="shared" si="0"/>
        <v>176</v>
      </c>
    </row>
    <row r="30" spans="1:12" x14ac:dyDescent="0.3">
      <c r="A30" s="9" t="s">
        <v>30</v>
      </c>
      <c r="B30" s="8">
        <v>900</v>
      </c>
      <c r="C30" s="7" t="s">
        <v>1</v>
      </c>
      <c r="D30" s="6">
        <v>7</v>
      </c>
      <c r="E30" s="5">
        <v>1</v>
      </c>
      <c r="F30" s="5" t="s">
        <v>0</v>
      </c>
      <c r="G30" s="12"/>
      <c r="H30" s="11" t="s">
        <v>29</v>
      </c>
      <c r="I30" s="10" t="s">
        <v>28</v>
      </c>
      <c r="J30" s="10" t="s">
        <v>27</v>
      </c>
      <c r="L30" s="4">
        <f t="shared" si="0"/>
        <v>75</v>
      </c>
    </row>
    <row r="31" spans="1:12" x14ac:dyDescent="0.3">
      <c r="A31" s="9" t="s">
        <v>61</v>
      </c>
      <c r="B31" s="8" t="s">
        <v>61</v>
      </c>
      <c r="C31" s="7" t="s">
        <v>61</v>
      </c>
      <c r="D31" s="6" t="s">
        <v>61</v>
      </c>
      <c r="E31" s="5" t="s">
        <v>61</v>
      </c>
      <c r="F31" s="5" t="s">
        <v>61</v>
      </c>
      <c r="G31" s="12"/>
      <c r="H31" s="11"/>
      <c r="I31" s="10"/>
      <c r="J31" s="10"/>
    </row>
    <row r="32" spans="1:12" x14ac:dyDescent="0.3">
      <c r="A32" s="10" t="s">
        <v>26</v>
      </c>
      <c r="B32" s="8">
        <f>H32*I32*J32</f>
        <v>74.25</v>
      </c>
      <c r="C32" s="7" t="s">
        <v>21</v>
      </c>
      <c r="D32" s="6"/>
      <c r="E32" s="5"/>
      <c r="F32" s="5" t="s">
        <v>0</v>
      </c>
      <c r="G32" s="12"/>
      <c r="H32" s="11">
        <v>4.5</v>
      </c>
      <c r="I32" s="10">
        <v>13.2</v>
      </c>
      <c r="J32" s="10">
        <v>1.25</v>
      </c>
      <c r="L32" s="4">
        <f t="shared" si="0"/>
        <v>321.75</v>
      </c>
    </row>
    <row r="33" spans="1:12" x14ac:dyDescent="0.3">
      <c r="A33" s="10" t="s">
        <v>25</v>
      </c>
      <c r="B33" s="8">
        <f>H33*I33*J33</f>
        <v>90</v>
      </c>
      <c r="C33" s="7" t="s">
        <v>21</v>
      </c>
      <c r="D33" s="6"/>
      <c r="E33" s="5"/>
      <c r="F33" s="5" t="s">
        <v>0</v>
      </c>
      <c r="G33" s="12"/>
      <c r="H33" s="11">
        <v>4.5</v>
      </c>
      <c r="I33" s="10">
        <v>16</v>
      </c>
      <c r="J33" s="10">
        <v>1.25</v>
      </c>
      <c r="L33" s="4">
        <f t="shared" si="0"/>
        <v>390</v>
      </c>
    </row>
    <row r="34" spans="1:12" x14ac:dyDescent="0.3">
      <c r="A34" s="10" t="s">
        <v>24</v>
      </c>
      <c r="B34" s="8">
        <f>H34*I34*J34</f>
        <v>162</v>
      </c>
      <c r="C34" s="7" t="s">
        <v>23</v>
      </c>
      <c r="D34" s="6"/>
      <c r="E34" s="5"/>
      <c r="F34" s="5" t="s">
        <v>0</v>
      </c>
      <c r="G34" s="12"/>
      <c r="H34" s="11">
        <v>4.5</v>
      </c>
      <c r="I34" s="10">
        <v>36</v>
      </c>
      <c r="J34" s="10">
        <v>1</v>
      </c>
      <c r="L34" s="4">
        <f t="shared" si="0"/>
        <v>162</v>
      </c>
    </row>
    <row r="35" spans="1:12" x14ac:dyDescent="0.3">
      <c r="A35" s="10" t="s">
        <v>22</v>
      </c>
      <c r="B35" s="8">
        <f>H35*I35*J35</f>
        <v>0</v>
      </c>
      <c r="C35" s="7" t="s">
        <v>21</v>
      </c>
      <c r="D35" s="6"/>
      <c r="E35" s="5"/>
      <c r="F35" s="5" t="s">
        <v>0</v>
      </c>
      <c r="G35" s="12"/>
      <c r="H35" s="11">
        <v>4.5</v>
      </c>
      <c r="I35" s="10">
        <v>48</v>
      </c>
      <c r="J35" s="10"/>
      <c r="L35" s="4">
        <f t="shared" si="0"/>
        <v>0</v>
      </c>
    </row>
    <row r="36" spans="1:12" x14ac:dyDescent="0.3">
      <c r="A36" s="9" t="s">
        <v>61</v>
      </c>
      <c r="B36" s="8" t="s">
        <v>61</v>
      </c>
      <c r="C36" s="7" t="s">
        <v>61</v>
      </c>
      <c r="D36" s="6" t="s">
        <v>61</v>
      </c>
      <c r="E36" s="5" t="s">
        <v>61</v>
      </c>
      <c r="F36" s="5" t="s">
        <v>61</v>
      </c>
      <c r="L36" s="19"/>
    </row>
    <row r="37" spans="1:12" x14ac:dyDescent="0.3">
      <c r="A37" s="9" t="s">
        <v>20</v>
      </c>
      <c r="B37" s="8">
        <v>166</v>
      </c>
      <c r="C37" s="7" t="s">
        <v>1</v>
      </c>
      <c r="D37" s="6"/>
      <c r="E37" s="5"/>
      <c r="F37" s="5" t="s">
        <v>0</v>
      </c>
      <c r="L37" s="4">
        <f t="shared" si="0"/>
        <v>13.833333333333334</v>
      </c>
    </row>
    <row r="38" spans="1:12" x14ac:dyDescent="0.3">
      <c r="A38" s="9" t="s">
        <v>19</v>
      </c>
      <c r="B38" s="8">
        <v>326</v>
      </c>
      <c r="C38" s="7" t="s">
        <v>1</v>
      </c>
      <c r="D38" s="6"/>
      <c r="E38" s="5"/>
      <c r="F38" s="5" t="s">
        <v>0</v>
      </c>
      <c r="L38" s="4">
        <f t="shared" si="0"/>
        <v>27.166666666666668</v>
      </c>
    </row>
    <row r="39" spans="1:12" x14ac:dyDescent="0.3">
      <c r="A39" s="9" t="s">
        <v>18</v>
      </c>
      <c r="B39" s="8">
        <v>167</v>
      </c>
      <c r="C39" s="7" t="s">
        <v>1</v>
      </c>
      <c r="D39" s="6"/>
      <c r="E39" s="5"/>
      <c r="F39" s="5" t="s">
        <v>0</v>
      </c>
      <c r="L39" s="4">
        <f t="shared" si="0"/>
        <v>13.916666666666666</v>
      </c>
    </row>
    <row r="40" spans="1:12" x14ac:dyDescent="0.3">
      <c r="A40" s="9" t="s">
        <v>17</v>
      </c>
      <c r="B40" s="8">
        <v>156</v>
      </c>
      <c r="C40" s="7" t="s">
        <v>1</v>
      </c>
      <c r="D40" s="6"/>
      <c r="E40" s="5"/>
      <c r="F40" s="5" t="s">
        <v>0</v>
      </c>
      <c r="L40" s="4">
        <f t="shared" si="0"/>
        <v>13</v>
      </c>
    </row>
    <row r="41" spans="1:12" x14ac:dyDescent="0.3">
      <c r="A41" s="9" t="s">
        <v>16</v>
      </c>
      <c r="B41" s="8">
        <v>100</v>
      </c>
      <c r="C41" s="7" t="s">
        <v>1</v>
      </c>
      <c r="D41" s="6"/>
      <c r="E41" s="5"/>
      <c r="F41" s="5" t="s">
        <v>0</v>
      </c>
      <c r="L41" s="4">
        <f t="shared" si="0"/>
        <v>8.3333333333333339</v>
      </c>
    </row>
    <row r="42" spans="1:12" x14ac:dyDescent="0.3">
      <c r="A42" s="9" t="s">
        <v>15</v>
      </c>
      <c r="B42" s="8">
        <v>100</v>
      </c>
      <c r="C42" s="7" t="s">
        <v>1</v>
      </c>
      <c r="D42" s="6"/>
      <c r="E42" s="5"/>
      <c r="F42" s="5" t="s">
        <v>0</v>
      </c>
      <c r="L42" s="4">
        <f t="shared" si="0"/>
        <v>8.3333333333333339</v>
      </c>
    </row>
    <row r="43" spans="1:12" x14ac:dyDescent="0.3">
      <c r="A43" s="9" t="s">
        <v>14</v>
      </c>
      <c r="B43" s="8">
        <v>1000</v>
      </c>
      <c r="C43" s="7" t="s">
        <v>1</v>
      </c>
      <c r="D43" s="6"/>
      <c r="E43" s="5"/>
      <c r="F43" s="5" t="s">
        <v>0</v>
      </c>
      <c r="L43" s="4">
        <f t="shared" si="0"/>
        <v>83.333333333333329</v>
      </c>
    </row>
    <row r="44" spans="1:12" x14ac:dyDescent="0.3">
      <c r="A44" s="9" t="s">
        <v>13</v>
      </c>
      <c r="B44" s="8">
        <v>170</v>
      </c>
      <c r="C44" s="7" t="s">
        <v>1</v>
      </c>
      <c r="D44" s="6"/>
      <c r="E44" s="5"/>
      <c r="F44" s="5" t="s">
        <v>0</v>
      </c>
      <c r="L44" s="4">
        <f t="shared" si="0"/>
        <v>14.166666666666666</v>
      </c>
    </row>
    <row r="45" spans="1:12" x14ac:dyDescent="0.3">
      <c r="A45" s="9" t="s">
        <v>12</v>
      </c>
      <c r="B45" s="8">
        <v>120</v>
      </c>
      <c r="C45" s="7" t="s">
        <v>1</v>
      </c>
      <c r="D45" s="6"/>
      <c r="E45" s="5"/>
      <c r="F45" s="5" t="s">
        <v>0</v>
      </c>
      <c r="L45" s="4">
        <f t="shared" si="0"/>
        <v>10</v>
      </c>
    </row>
    <row r="46" spans="1:12" x14ac:dyDescent="0.3">
      <c r="A46" s="9" t="s">
        <v>11</v>
      </c>
      <c r="B46" s="8">
        <v>139</v>
      </c>
      <c r="C46" s="7" t="s">
        <v>1</v>
      </c>
      <c r="D46" s="6"/>
      <c r="E46" s="5"/>
      <c r="F46" s="5" t="s">
        <v>0</v>
      </c>
      <c r="L46" s="4">
        <f t="shared" si="0"/>
        <v>11.583333333333334</v>
      </c>
    </row>
    <row r="47" spans="1:12" x14ac:dyDescent="0.3">
      <c r="A47" s="9" t="s">
        <v>10</v>
      </c>
      <c r="B47" s="8">
        <v>389</v>
      </c>
      <c r="C47" s="7" t="s">
        <v>1</v>
      </c>
      <c r="D47" s="6"/>
      <c r="E47" s="5"/>
      <c r="F47" s="5" t="s">
        <v>0</v>
      </c>
      <c r="L47" s="4">
        <f t="shared" si="0"/>
        <v>32.416666666666664</v>
      </c>
    </row>
    <row r="48" spans="1:12" x14ac:dyDescent="0.3">
      <c r="A48" s="9" t="s">
        <v>9</v>
      </c>
      <c r="B48" s="8">
        <v>20</v>
      </c>
      <c r="C48" s="7" t="s">
        <v>1</v>
      </c>
      <c r="D48" s="6"/>
      <c r="E48" s="5"/>
      <c r="F48" s="5" t="s">
        <v>0</v>
      </c>
      <c r="L48" s="4">
        <f t="shared" si="0"/>
        <v>1.6666666666666667</v>
      </c>
    </row>
    <row r="49" spans="1:12" x14ac:dyDescent="0.3">
      <c r="A49" s="9" t="s">
        <v>8</v>
      </c>
      <c r="B49" s="8">
        <v>20</v>
      </c>
      <c r="C49" s="7" t="s">
        <v>1</v>
      </c>
      <c r="D49" s="6"/>
      <c r="E49" s="5"/>
      <c r="F49" s="5" t="s">
        <v>0</v>
      </c>
      <c r="L49" s="4">
        <f t="shared" si="0"/>
        <v>1.6666666666666667</v>
      </c>
    </row>
    <row r="50" spans="1:12" x14ac:dyDescent="0.3">
      <c r="A50" s="9" t="s">
        <v>7</v>
      </c>
      <c r="B50" s="8">
        <v>20</v>
      </c>
      <c r="C50" s="7" t="s">
        <v>1</v>
      </c>
      <c r="D50" s="6"/>
      <c r="E50" s="5"/>
      <c r="F50" s="5" t="s">
        <v>0</v>
      </c>
      <c r="L50" s="4">
        <f t="shared" si="0"/>
        <v>1.6666666666666667</v>
      </c>
    </row>
    <row r="51" spans="1:12" x14ac:dyDescent="0.3">
      <c r="A51" s="9" t="s">
        <v>6</v>
      </c>
      <c r="B51" s="8">
        <v>130</v>
      </c>
      <c r="C51" s="7" t="s">
        <v>1</v>
      </c>
      <c r="D51" s="6"/>
      <c r="E51" s="5"/>
      <c r="F51" s="5" t="s">
        <v>0</v>
      </c>
      <c r="L51" s="4">
        <f t="shared" si="0"/>
        <v>10.833333333333334</v>
      </c>
    </row>
    <row r="52" spans="1:12" x14ac:dyDescent="0.3">
      <c r="A52" s="9" t="s">
        <v>5</v>
      </c>
      <c r="B52" s="8">
        <v>20</v>
      </c>
      <c r="C52" s="7" t="s">
        <v>1</v>
      </c>
      <c r="D52" s="6"/>
      <c r="E52" s="5"/>
      <c r="F52" s="5" t="s">
        <v>0</v>
      </c>
      <c r="L52" s="4">
        <f t="shared" si="0"/>
        <v>1.6666666666666667</v>
      </c>
    </row>
    <row r="53" spans="1:12" x14ac:dyDescent="0.3">
      <c r="A53" s="9" t="s">
        <v>4</v>
      </c>
      <c r="B53" s="8">
        <v>15</v>
      </c>
      <c r="C53" s="7" t="s">
        <v>1</v>
      </c>
      <c r="D53" s="6"/>
      <c r="E53" s="5"/>
      <c r="F53" s="5" t="s">
        <v>0</v>
      </c>
      <c r="L53" s="4">
        <f t="shared" si="0"/>
        <v>1.25</v>
      </c>
    </row>
    <row r="54" spans="1:12" x14ac:dyDescent="0.3">
      <c r="A54" s="9" t="s">
        <v>3</v>
      </c>
      <c r="B54" s="8">
        <v>70</v>
      </c>
      <c r="C54" s="7" t="s">
        <v>1</v>
      </c>
      <c r="D54" s="6"/>
      <c r="E54" s="5"/>
      <c r="F54" s="5" t="s">
        <v>0</v>
      </c>
      <c r="L54" s="4">
        <f t="shared" si="0"/>
        <v>5.833333333333333</v>
      </c>
    </row>
    <row r="55" spans="1:12" x14ac:dyDescent="0.3">
      <c r="A55" s="9" t="s">
        <v>2</v>
      </c>
      <c r="B55" s="8">
        <v>65</v>
      </c>
      <c r="C55" s="7" t="s">
        <v>1</v>
      </c>
      <c r="D55" s="6"/>
      <c r="E55" s="5"/>
      <c r="F55" s="5" t="s">
        <v>0</v>
      </c>
      <c r="L55" s="4">
        <f t="shared" si="0"/>
        <v>5.416666666666667</v>
      </c>
    </row>
    <row r="56" spans="1:12" x14ac:dyDescent="0.3">
      <c r="A56" s="9" t="s">
        <v>61</v>
      </c>
      <c r="B56" s="8" t="s">
        <v>61</v>
      </c>
      <c r="C56" s="7" t="s">
        <v>61</v>
      </c>
      <c r="D56" s="6" t="s">
        <v>61</v>
      </c>
      <c r="E56" s="5" t="s">
        <v>61</v>
      </c>
      <c r="F56" s="5" t="s">
        <v>61</v>
      </c>
      <c r="L56" s="4">
        <f t="shared" si="0"/>
        <v>0</v>
      </c>
    </row>
    <row r="57" spans="1:12" x14ac:dyDescent="0.3">
      <c r="A57" s="9" t="s">
        <v>61</v>
      </c>
      <c r="B57" s="8" t="s">
        <v>61</v>
      </c>
      <c r="C57" s="7" t="s">
        <v>61</v>
      </c>
      <c r="D57" s="6" t="s">
        <v>61</v>
      </c>
      <c r="E57" s="5" t="s">
        <v>61</v>
      </c>
      <c r="F57" s="5" t="s">
        <v>61</v>
      </c>
      <c r="L57" s="4">
        <f t="shared" si="0"/>
        <v>0</v>
      </c>
    </row>
    <row r="58" spans="1:12" x14ac:dyDescent="0.3">
      <c r="A58" s="9" t="s">
        <v>61</v>
      </c>
      <c r="B58" s="8" t="s">
        <v>61</v>
      </c>
      <c r="C58" s="7" t="s">
        <v>61</v>
      </c>
      <c r="D58" s="6" t="s">
        <v>61</v>
      </c>
      <c r="E58" s="5" t="s">
        <v>61</v>
      </c>
      <c r="F58" s="5" t="s">
        <v>61</v>
      </c>
      <c r="L58" s="4">
        <f t="shared" si="0"/>
        <v>0</v>
      </c>
    </row>
    <row r="59" spans="1:12" x14ac:dyDescent="0.3">
      <c r="A59" s="9" t="s">
        <v>61</v>
      </c>
      <c r="B59" s="8" t="s">
        <v>61</v>
      </c>
      <c r="C59" s="7" t="s">
        <v>61</v>
      </c>
      <c r="D59" s="6" t="s">
        <v>61</v>
      </c>
      <c r="E59" s="5" t="s">
        <v>61</v>
      </c>
      <c r="F59" s="5" t="s">
        <v>61</v>
      </c>
      <c r="L59" s="4">
        <f t="shared" si="0"/>
        <v>0</v>
      </c>
    </row>
    <row r="60" spans="1:12" x14ac:dyDescent="0.3">
      <c r="A60" s="9" t="s">
        <v>61</v>
      </c>
      <c r="B60" s="8" t="s">
        <v>61</v>
      </c>
      <c r="C60" s="7" t="s">
        <v>61</v>
      </c>
      <c r="D60" s="6" t="s">
        <v>61</v>
      </c>
      <c r="E60" s="5" t="s">
        <v>61</v>
      </c>
      <c r="F60" s="5" t="s">
        <v>61</v>
      </c>
      <c r="L60" s="4">
        <f t="shared" si="0"/>
        <v>0</v>
      </c>
    </row>
    <row r="61" spans="1:12" x14ac:dyDescent="0.3">
      <c r="A61" s="9" t="s">
        <v>61</v>
      </c>
      <c r="B61" s="8" t="s">
        <v>61</v>
      </c>
      <c r="C61" s="7" t="s">
        <v>61</v>
      </c>
      <c r="D61" s="6" t="s">
        <v>61</v>
      </c>
      <c r="E61" s="5" t="s">
        <v>61</v>
      </c>
      <c r="F61" s="5" t="s">
        <v>61</v>
      </c>
      <c r="L61" s="4">
        <f t="shared" si="0"/>
        <v>0</v>
      </c>
    </row>
    <row r="62" spans="1:12" x14ac:dyDescent="0.3">
      <c r="A62" s="9" t="s">
        <v>60</v>
      </c>
      <c r="B62" s="8">
        <v>500</v>
      </c>
      <c r="C62" s="7" t="s">
        <v>23</v>
      </c>
      <c r="D62" s="6"/>
      <c r="E62" s="5"/>
      <c r="F62" s="5"/>
      <c r="L62" s="4">
        <f t="shared" si="0"/>
        <v>500</v>
      </c>
    </row>
    <row r="63" spans="1:12" x14ac:dyDescent="0.3">
      <c r="A63" s="9" t="s">
        <v>61</v>
      </c>
      <c r="B63" s="8" t="s">
        <v>61</v>
      </c>
      <c r="C63" s="7" t="s">
        <v>61</v>
      </c>
      <c r="D63" s="6" t="s">
        <v>61</v>
      </c>
      <c r="E63" s="5" t="s">
        <v>61</v>
      </c>
      <c r="F63" s="5" t="s">
        <v>61</v>
      </c>
      <c r="L63" s="4">
        <f t="shared" si="0"/>
        <v>0</v>
      </c>
    </row>
    <row r="65" spans="12:12" x14ac:dyDescent="0.3">
      <c r="L65" s="4">
        <f>SUM(L7:L64)</f>
        <v>7711.9733333333324</v>
      </c>
    </row>
    <row r="66" spans="12:12" x14ac:dyDescent="0.3">
      <c r="L66" s="4">
        <v>3500</v>
      </c>
    </row>
    <row r="70" spans="12:12" x14ac:dyDescent="0.3">
      <c r="L70" s="4">
        <f>SUM(L65:L69)</f>
        <v>11211.973333333332</v>
      </c>
    </row>
    <row r="71" spans="12:12" x14ac:dyDescent="0.3">
      <c r="L71" s="4">
        <v>8000</v>
      </c>
    </row>
    <row r="72" spans="12:12" x14ac:dyDescent="0.3">
      <c r="L72" s="4">
        <v>7000</v>
      </c>
    </row>
    <row r="74" spans="12:12" x14ac:dyDescent="0.3">
      <c r="L74" s="4">
        <f>L70-L71-L72</f>
        <v>-3788.0266666666685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Bills</vt:lpstr>
      <vt:lpstr>Bills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Ludwig</dc:creator>
  <cp:lastModifiedBy>Kevin Ludwig</cp:lastModifiedBy>
  <dcterms:created xsi:type="dcterms:W3CDTF">2025-12-20T19:04:01Z</dcterms:created>
  <dcterms:modified xsi:type="dcterms:W3CDTF">2025-12-28T16:16:59Z</dcterms:modified>
</cp:coreProperties>
</file>